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ja1" sheetId="1" state="visible" r:id="rId3"/>
    <sheet name="Hoja2" sheetId="2" state="hidden"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<sst xmlns="http://schemas.openxmlformats.org/spreadsheetml/2006/main" count="155" uniqueCount="107">
  <si>
    <t xml:space="preserve">Nombre del Grupo:</t>
  </si>
  <si>
    <t xml:space="preserve">Integrantes  que han colaborado en el trabajo en orden alfabético de apellidos:</t>
  </si>
  <si>
    <t xml:space="preserve">Grupo</t>
  </si>
  <si>
    <t xml:space="preserve">Elementos</t>
  </si>
  <si>
    <t xml:space="preserve">Realizado (SI/NO)</t>
  </si>
  <si>
    <t xml:space="preserve">Evidencias: Dónde debe mirar el profesor para comprobar que se ha hecho</t>
  </si>
  <si>
    <t xml:space="preserve">Nota:</t>
  </si>
  <si>
    <t xml:space="preserve">¿Se han creado los siguientes objetos?</t>
  </si>
  <si>
    <t xml:space="preserve">¿Se ha creado un esquema distinto para el trabajo?</t>
  </si>
  <si>
    <t xml:space="preserve">Se ha creado el tablespace independiente TS_PLYTIX y TS_INDICES para el trabajo?</t>
  </si>
  <si>
    <t xml:space="preserve">SI</t>
  </si>
  <si>
    <t xml:space="preserve">SELECT * FROM USER_TABLESPACES;</t>
  </si>
  <si>
    <t xml:space="preserve">Se han creado índices en la base de datos? De qué tipo? Porqué? Cuales?</t>
  </si>
  <si>
    <t xml:space="preserve">Sí, EMAIL_IDX de tipo btree, NOMBRECOMPLETO_IDX de tipo función y NOMBREUSUARIO_IDX de tipo bitmap. Para mejorar la eficiencia al consultar esos atributos.</t>
  </si>
  <si>
    <t xml:space="preserve">¿Se han importado los datos a la tablas Cuentas, Planes, Usuarios, Productos tal y como se especificaba en la práctica de nivel físico? ¿Se ha creado la tabla externa?</t>
  </si>
  <si>
    <t xml:space="preserve">SELECT * FROM ALL_EXTERNAL_TABLES;</t>
  </si>
  <si>
    <t xml:space="preserve">¿Se ha creado la tabla TRAZA y se usa para seguir errores?</t>
  </si>
  <si>
    <t xml:space="preserve">Como se puede comprobar en el paquete PKG_ADMIN_PRODUCTOS y en PKG_ADMIN_PRODUCTOS_AVANZADO cada vez que se lanza una excepción distinta a las que  hemos declarado lo registramos en la tabla TRAZA con la información necesaria para saber dónde se ha producido</t>
  </si>
  <si>
    <t xml:space="preserve">Seguridad</t>
  </si>
  <si>
    <t xml:space="preserve">¿Se ha cifrado alguna columna como se indicaba en la práctica de seguridad?</t>
  </si>
  <si>
    <t xml:space="preserve">Hemos cifrado la columa teléfono de la tabla usuario, se puede comprobar con: SELECT * FROM DBA_ENCRYPTED_COLUMNS;</t>
  </si>
  <si>
    <t xml:space="preserve">¿Se ha aplicado alguna política de autorización VPD?</t>
  </si>
  <si>
    <t xml:space="preserve">Hemos usado las políticas de seguridad para controlar que el usuario estándar solo pueda acceder a los atributos de su cuenta. Como SYSTEM: SELECT * FROM DBA_POLICIES
WHERE OBJECT_OWNER = 'PLYTIX';</t>
  </si>
  <si>
    <t xml:space="preserve">Vistas</t>
  </si>
  <si>
    <t xml:space="preserve">V_PRODUCTO_PUBLICO</t>
  </si>
  <si>
    <t xml:space="preserve">SELECT object_name, object_type FROM all_objects WHERE object_type = 'VIEW'   AND object_name = 'V_PRODUCTO_PUBLICO'; (Se crea en el script de la entrega 2 de nivel físico)</t>
  </si>
  <si>
    <t xml:space="preserve">Materializada: VM_PRODUCTOS</t>
  </si>
  <si>
    <t xml:space="preserve">SELECT owner, mview_name FROM all_mviews WHERE mview_name = 'VM_PRODUCTO'; </t>
  </si>
  <si>
    <t xml:space="preserve">Permisos</t>
  </si>
  <si>
    <t xml:space="preserve">Gestión de Productos por Usuario Estándar</t>
  </si>
  <si>
    <t xml:space="preserve">Vista V_PRODUCTO_STD y Triggers INSTEAD OF para operaciones CRUD que: En INSERT: Asignan automáticamente la CUENTA_ID del usuario actual En UPDATE/DELETE: Solo permiten modificar productos de su cuenta</t>
  </si>
  <si>
    <t xml:space="preserve">Gestión de Productos, Activos y Categorías</t>
  </si>
  <si>
    <t xml:space="preserve">Productos explicado arriba. Para Activos: Vista V_ACTIVO_STD: Solo activos de su cuenta y Triggers similares que verifican pertenencia a la cuenta del usuario Vista adicional V_ACTIVO_CATEGORIA_STD para gestionar relaciones activo-categoría</t>
  </si>
  <si>
    <t xml:space="preserve">Gestión de Atributos y Relaciones entre Productos</t>
  </si>
  <si>
    <t xml:space="preserve">Política de Seguridad VPD para Atributos. FUNCTION SOLO_USER_ATRIB. Para INSERT usa un trigger adicional ya que VPD no cubre esta operación</t>
  </si>
  <si>
    <t xml:space="preserve">Gestión de las Cuentas</t>
  </si>
  <si>
    <t xml:space="preserve">Acceso completo a tabla CUENTA. Acceso limitado a información de usuarios:
Vista V_USUARIO_GESTOR: Excluye datos sensibles (Email, Teléfono). Trigger de protección impide eliminar usuarios que son propietarios de cuentas</t>
  </si>
  <si>
    <t xml:space="preserve">Gestión de los Planes</t>
  </si>
  <si>
    <t xml:space="preserve">Acceso completo a tabla PLAN</t>
  </si>
  <si>
    <t xml:space="preserve">Paquetes PL/SQL </t>
  </si>
  <si>
    <t xml:space="preserve">PKG_ADMIN_PRODUCTOS</t>
  </si>
  <si>
    <t xml:space="preserve">Mirar paquete</t>
  </si>
  <si>
    <t xml:space="preserve">Procedimientos (dentro del paquete)</t>
  </si>
  <si>
    <t xml:space="preserve">F_OBTENER_PLAN_CUENTA</t>
  </si>
  <si>
    <t xml:space="preserve">F_CONTAR_PRODUCTOS_CUENTA</t>
  </si>
  <si>
    <t xml:space="preserve">F_VALIDAR_ATRIBUTOS_PRODUCTO</t>
  </si>
  <si>
    <t xml:space="preserve">F_NUM_CATEGORIAS_CUENTA</t>
  </si>
  <si>
    <t xml:space="preserve">P_ACTUALIZAR_NOMBRE_PRODUCTO</t>
  </si>
  <si>
    <t xml:space="preserve">P_ASOCIAR_ACTIVO_A_PRODUCTO</t>
  </si>
  <si>
    <t xml:space="preserve">P_ELIMINAR_PRODUCTO_Y_ASOCIACIONES</t>
  </si>
  <si>
    <t xml:space="preserve">P_CREAR_USUARIO</t>
  </si>
  <si>
    <t xml:space="preserve">P_ACTUALIZAR_PRODUCTOS</t>
  </si>
  <si>
    <t xml:space="preserve">Triggers</t>
  </si>
  <si>
    <t xml:space="preserve">TR_PRODUCTOS</t>
  </si>
  <si>
    <t xml:space="preserve">Transacciones</t>
  </si>
  <si>
    <t xml:space="preserve">Se han confirmado/deshecho las transacciones en los procedimientos y en los paquetes</t>
  </si>
  <si>
    <t xml:space="preserve">Sí, en los procedimientos contenidos en los paquetes, las transacciones se confirman (COMMIT) tras completarse correctamente o después de insertar en la tabla TRAZA en caso de que ocurra una excepción. En los casos en los que no es necesario emplear dicha tabla, los cambios se revierten (ROLLBACK) para mantener la integridad de los datos. Además, en el procedimiento P_MIGRAR_PRODUCTOS_A_CATEGORIA se hace uso de un SAVEPOINT con la finalidad de poder deshacer un cambio problemático en nuestra base de datos sin echar a perder todo el progreso logrado hasta ese punto y poder continuar con el resto de la transacción; todo aquello que haya fallado puede ser tratado directamente mediante un uso adecuado de la tabla TRAZA.</t>
  </si>
  <si>
    <t xml:space="preserve">Excepciones</t>
  </si>
  <si>
    <t xml:space="preserve">Se han controlado excepciones</t>
  </si>
  <si>
    <t xml:space="preserve">Se han declarado excepciones personalizadas que se pueden ver en las declaraciones del paquete</t>
  </si>
  <si>
    <t xml:space="preserve">¿Se han probado todas las funcionalidades insertando datos coherentes?</t>
  </si>
  <si>
    <t xml:space="preserve">Sí, se han hecho test para todos los procedimientos y funciones</t>
  </si>
  <si>
    <t xml:space="preserve">Se han creado  roles adecuadamente</t>
  </si>
  <si>
    <t xml:space="preserve">SELECT * FROM DBA_ROLES
WHERE ROLE IN ('R_USER_STD', 'R_GESTOR_CUENTA', 'R_PLANIFICADOR_SERVICIOS');</t>
  </si>
  <si>
    <t xml:space="preserve">Se han asignado usuarios a los roles adecuadamente</t>
  </si>
  <si>
    <t xml:space="preserve">El administrador del sistema es el propio PLYTIX. Se ha creado el usuario anagarcia como ejemplo de usuario estándar, el usuario gestorcuentas y el usuario planificador correspondiente a los otros dos roles</t>
  </si>
  <si>
    <t xml:space="preserve">Se han asignado los permisos de forma restrictiva a todos los usuarios. Ejemplos:</t>
  </si>
  <si>
    <t xml:space="preserve">Se asignan a través de los roles, solo tienen permiso para acceder a las vistas correspondientes que se han creado para este propósito en la entrega 2 de nivel físico</t>
  </si>
  <si>
    <t xml:space="preserve">Operaciones a realizar por los usuarios</t>
  </si>
  <si>
    <t xml:space="preserve">Las especificadas en el enunciado 2 de la parte de nivel físico, se otorgan mediante roles</t>
  </si>
  <si>
    <t xml:space="preserve">Alguna política de gestión de contraseñas</t>
  </si>
  <si>
    <t xml:space="preserve">Hemos aplicado la siguiente política: ALTER PROFILE DEFAULT LIMIT
  FAILED_LOGIN_ATTEMPTS 3
  PASSWORD_LOCK_TIME 1
  PASSWORD_LIFE_TIME 180. Se puede comprobar con: SELECT * FROM dba_profiles WHERE profile = 'DEFAULT';</t>
  </si>
  <si>
    <t xml:space="preserve">Se ha activado TDE y encriptado algunas columnas</t>
  </si>
  <si>
    <t xml:space="preserve">Ver apartado anterior de seguridad al respecto</t>
  </si>
  <si>
    <t xml:space="preserve">Si has contestado NO a alguna de las pregunas anteriores, el trabajo se considera no superado</t>
  </si>
  <si>
    <t xml:space="preserve">Si has contestado SI a todas las pregunas anteriores, y el trabajo está correcto, la nota del trabajo en grupo será 2 sobre 4</t>
  </si>
  <si>
    <t xml:space="preserve">Para subir la nota se deben realizar las siguientes opciones:</t>
  </si>
  <si>
    <t xml:space="preserve">Paquetes</t>
  </si>
  <si>
    <t xml:space="preserve">PKG_ADMIN_PRODUCTOS_AVANZADO</t>
  </si>
  <si>
    <t xml:space="preserve">Mirar paquete en la BD</t>
  </si>
  <si>
    <t xml:space="preserve">F_VALIDAR_PLAN_SUFICIENTE</t>
  </si>
  <si>
    <t xml:space="preserve">F_LISTA_CATEGORIAS_PRODUCTO</t>
  </si>
  <si>
    <t xml:space="preserve">P_MIGRAR_PRODUCTOS_A_CATEGORIA</t>
  </si>
  <si>
    <t xml:space="preserve">P_REPLICAR_ATRIBUTOS</t>
  </si>
  <si>
    <t xml:space="preserve">JOBS</t>
  </si>
  <si>
    <t xml:space="preserve">J_LIMPIA_TRAZA</t>
  </si>
  <si>
    <t xml:space="preserve">SELECT 
    job_name,
    job_type,
    job_action,
    start_date,
    repeat_interval,
    next_run_date,
    state,
    enabled
FROM user_scheduler_jobs
ORDER BY job_name;</t>
  </si>
  <si>
    <t xml:space="preserve">J_ACTUALIZA_PRODUCTOS</t>
  </si>
  <si>
    <t xml:space="preserve">Ídem</t>
  </si>
  <si>
    <t xml:space="preserve">¿Es el diseño (modelo E/R) de la base de datos correcto?</t>
  </si>
  <si>
    <t xml:space="preserve">¿Se comprueban restricciones semánticas? El rango debe estar dentro de ..., números no negativos en ciertos campos, comparación de fechas, etc.</t>
  </si>
  <si>
    <t xml:space="preserve">NO</t>
  </si>
  <si>
    <t xml:space="preserve">Se han creado Restricciones NOT NULL / UNIQUE</t>
  </si>
  <si>
    <t xml:space="preserve">En varias tablas, por ejemplo en usuario el nif</t>
  </si>
  <si>
    <t xml:space="preserve">Auditoria</t>
  </si>
  <si>
    <t xml:space="preserve">Se ha configurado AUDIT para modificación de citas o sesiones de entrenamiento o se ha creado un Trigger</t>
  </si>
  <si>
    <t xml:space="preserve">Se audita la tabla PLAN: SELECT event_timestamp, dbusername, action_name, object_name, sql_text FROM UNIFIED_AUDIT_TRAIL WHERE object_name = 'PLAN' ORDER BY event_timestamp DESC;</t>
  </si>
  <si>
    <t xml:space="preserve">Miscelanea</t>
  </si>
  <si>
    <t xml:space="preserve">Se han introducido (SUFICIENTES) datos para comprobar la integridad referencial del modelo lógico?</t>
  </si>
  <si>
    <t xml:space="preserve">Se han tratado correctamente las mayusculas/minusculas en triggers, índices, etc.</t>
  </si>
  <si>
    <t xml:space="preserve">¿Se han introducido procedimientos/funciones/jobs/triggers o vistas adicionales a las propuestas?</t>
  </si>
  <si>
    <t xml:space="preserve">Hemos utilizado vistas para controlar los permisos que proporcionan los roles a los usuarios y triggers para inserción, modificación y actualización</t>
  </si>
  <si>
    <t xml:space="preserve">Contexto</t>
  </si>
  <si>
    <t xml:space="preserve">¿Se ha utilizado contexto de aplicaciones para distinguir el usuario activo y sus permisos?</t>
  </si>
  <si>
    <t xml:space="preserve">Nota</t>
  </si>
  <si>
    <t xml:space="preserve">Nota final</t>
  </si>
  <si>
    <t xml:space="preserve">Columna1</t>
  </si>
</sst>
</file>

<file path=xl/styles.xml><?xml version="1.0" encoding="utf-8"?>
<styleSheet xmlns="http://schemas.openxmlformats.org/spreadsheetml/2006/main">
  <numFmts count="3">
    <numFmt numFmtId="164" formatCode="General"/>
    <numFmt numFmtId="165" formatCode="General"/>
    <numFmt numFmtId="166" formatCode="0.00"/>
  </numFmts>
  <fonts count="16">
    <font>
      <sz val="11"/>
      <color theme="1"/>
      <name val="Calibri"/>
      <family val="2"/>
      <charset val="1"/>
    </font>
    <font>
      <sz val="10"/>
      <name val="Arial"/>
      <family val="0"/>
    </font>
    <font>
      <sz val="10"/>
      <name val="Arial"/>
      <family val="0"/>
    </font>
    <font>
      <sz val="10"/>
      <name val="Arial"/>
      <family val="0"/>
    </font>
    <font>
      <b val="true"/>
      <sz val="18"/>
      <color theme="1"/>
      <name val="Calibri"/>
      <family val="2"/>
      <charset val="1"/>
    </font>
    <font>
      <b val="true"/>
      <sz val="12"/>
      <color theme="1"/>
      <name val="Calibri"/>
      <family val="2"/>
      <charset val="1"/>
    </font>
    <font>
      <b val="true"/>
      <sz val="11"/>
      <color theme="1"/>
      <name val="Calibri"/>
      <family val="2"/>
      <charset val="1"/>
    </font>
    <font>
      <b val="true"/>
      <u val="single"/>
      <sz val="11"/>
      <color theme="1"/>
      <name val="Calibri"/>
      <family val="2"/>
      <charset val="1"/>
    </font>
    <font>
      <b val="true"/>
      <sz val="12"/>
      <color rgb="FF000000"/>
      <name val="Calibri"/>
      <family val="2"/>
      <charset val="1"/>
    </font>
    <font>
      <sz val="11"/>
      <color rgb="FF000000"/>
      <name val="Calibri"/>
      <family val="2"/>
      <charset val="1"/>
    </font>
    <font>
      <i val="true"/>
      <sz val="11"/>
      <color theme="1"/>
      <name val="Calibri"/>
      <family val="2"/>
      <charset val="1"/>
    </font>
    <font>
      <sz val="10"/>
      <color rgb="FF000000"/>
      <name val="Tahoma"/>
      <family val="2"/>
      <charset val="1"/>
    </font>
    <font>
      <sz val="11"/>
      <color theme="1"/>
      <name val="Courier New"/>
      <family val="3"/>
      <charset val="1"/>
    </font>
    <font>
      <sz val="18"/>
      <color rgb="FFFF0000"/>
      <name val="Calibri"/>
      <family val="2"/>
      <charset val="1"/>
    </font>
    <font>
      <sz val="11"/>
      <name val="Calibri"/>
      <family val="2"/>
      <charset val="1"/>
    </font>
    <font>
      <b val="true"/>
      <i val="true"/>
      <sz val="12"/>
      <color theme="1"/>
      <name val="Calibri"/>
      <family val="2"/>
      <charset val="1"/>
    </font>
  </fonts>
  <fills count="3">
    <fill>
      <patternFill patternType="none"/>
    </fill>
    <fill>
      <patternFill patternType="gray125"/>
    </fill>
    <fill>
      <patternFill patternType="solid">
        <fgColor rgb="FFFFFF00"/>
        <bgColor rgb="FFFFFF00"/>
      </patternFill>
    </fill>
  </fills>
  <borders count="3">
    <border diagonalUp="false" diagonalDown="false">
      <left/>
      <right/>
      <top/>
      <bottom/>
      <diagonal/>
    </border>
    <border diagonalUp="false" diagonalDown="false">
      <left/>
      <right style="thin"/>
      <top style="thin"/>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true">
      <alignment horizontal="left" vertical="bottom" textRotation="0" wrapText="false" indent="0" shrinkToFit="false"/>
      <protection locked="false" hidden="false"/>
    </xf>
    <xf numFmtId="164" fontId="6" fillId="2" borderId="0" xfId="0" applyFont="true" applyBorder="false" applyAlignment="true" applyProtection="true">
      <alignment horizontal="left" vertical="bottom" textRotation="0" wrapText="true" indent="0" shrinkToFit="false"/>
      <protection locked="fals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false" hidden="false"/>
    </xf>
    <xf numFmtId="164" fontId="10" fillId="0" borderId="0" xfId="0" applyFont="true" applyBorder="false" applyAlignment="true" applyProtection="true">
      <alignment horizontal="general" vertical="bottom" textRotation="0" wrapText="true" indent="0" shrinkToFit="false"/>
      <protection locked="fals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ables/table1.xml><?xml version="1.0" encoding="utf-8"?>
<table xmlns="http://schemas.openxmlformats.org/spreadsheetml/2006/main" id="1" name="Tabla1" displayName="Tabla1" ref="A1:A3" headerRowCount="1" totalsRowCount="0" totalsRowShown="0">
  <autoFilter ref="A1:A3"/>
  <tableColumns count="1">
    <tableColumn id="1" name="Columna1"/>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1"/>
  <sheetViews>
    <sheetView showFormulas="false" showGridLines="true" showRowColHeaders="true" showZeros="true" rightToLeft="false" tabSelected="true" showOutlineSymbols="true" defaultGridColor="true" view="normal" topLeftCell="A20" colorId="64" zoomScale="115" zoomScaleNormal="115" zoomScalePageLayoutView="100" workbookViewId="0">
      <selection pane="topLeft" activeCell="E30" activeCellId="0" sqref="E30"/>
    </sheetView>
  </sheetViews>
  <sheetFormatPr defaultColWidth="10.59765625" defaultRowHeight="14.25" zeroHeight="false" outlineLevelRow="0" outlineLevelCol="0"/>
  <cols>
    <col collapsed="false" customWidth="true" hidden="false" outlineLevel="0" max="1" min="1" style="0" width="12"/>
    <col collapsed="false" customWidth="true" hidden="false" outlineLevel="0" max="2" min="2" style="0" width="51.18"/>
    <col collapsed="false" customWidth="true" hidden="false" outlineLevel="0" max="3" min="3" style="0" width="46.18"/>
    <col collapsed="false" customWidth="true" hidden="false" outlineLevel="0" max="5" min="5" style="1" width="47.82"/>
    <col collapsed="false" customWidth="true" hidden="false" outlineLevel="0" max="8" min="6" style="0" width="11.45"/>
  </cols>
  <sheetData>
    <row r="1" customFormat="false" ht="22.05" hidden="false" customHeight="false" outlineLevel="0" collapsed="false">
      <c r="A1" s="2"/>
      <c r="B1" s="2" t="s">
        <v>0</v>
      </c>
      <c r="C1" s="3"/>
      <c r="D1" s="2"/>
      <c r="E1" s="4"/>
      <c r="F1" s="2"/>
    </row>
    <row r="2" customFormat="false" ht="15" hidden="false" customHeight="false" outlineLevel="0" collapsed="false">
      <c r="A2" s="5" t="s">
        <v>1</v>
      </c>
      <c r="B2" s="5"/>
      <c r="C2" s="5"/>
      <c r="D2" s="6"/>
      <c r="E2" s="7"/>
      <c r="F2" s="6"/>
    </row>
    <row r="3" customFormat="false" ht="14.25" hidden="false" customHeight="false" outlineLevel="0" collapsed="false">
      <c r="A3" s="8"/>
      <c r="B3" s="9"/>
      <c r="C3" s="9"/>
      <c r="D3" s="9"/>
      <c r="E3" s="9"/>
      <c r="F3" s="8" t="s">
        <v>2</v>
      </c>
    </row>
    <row r="4" customFormat="false" ht="31.3" hidden="false" customHeight="false" outlineLevel="0" collapsed="false">
      <c r="A4" s="10" t="s">
        <v>3</v>
      </c>
      <c r="B4" s="1"/>
      <c r="C4" s="10"/>
      <c r="D4" s="10" t="s">
        <v>4</v>
      </c>
      <c r="E4" s="11" t="s">
        <v>5</v>
      </c>
      <c r="F4" s="10" t="s">
        <v>6</v>
      </c>
      <c r="G4" s="10"/>
      <c r="H4" s="10"/>
      <c r="I4" s="10"/>
      <c r="J4" s="10"/>
      <c r="K4" s="10"/>
      <c r="L4" s="10"/>
      <c r="M4" s="10"/>
      <c r="N4" s="10"/>
      <c r="O4" s="10"/>
      <c r="P4" s="10"/>
      <c r="Q4" s="10"/>
      <c r="R4" s="10"/>
      <c r="S4" s="10"/>
      <c r="T4" s="10"/>
      <c r="U4" s="10"/>
    </row>
    <row r="5" customFormat="false" ht="17.9" hidden="false" customHeight="false" outlineLevel="0" collapsed="false">
      <c r="B5" s="12" t="s">
        <v>7</v>
      </c>
      <c r="C5" s="13"/>
      <c r="D5" s="13"/>
    </row>
    <row r="6" customFormat="false" ht="31.3" hidden="false" customHeight="false" outlineLevel="0" collapsed="false">
      <c r="A6" s="14" t="n">
        <v>1</v>
      </c>
      <c r="B6" s="15" t="s">
        <v>8</v>
      </c>
      <c r="C6" s="1" t="s">
        <v>9</v>
      </c>
      <c r="D6" s="16" t="s">
        <v>10</v>
      </c>
      <c r="E6" s="17" t="s">
        <v>11</v>
      </c>
      <c r="F6" s="18" t="n">
        <f aca="false">IF(D6="SI",1,0)</f>
        <v>1</v>
      </c>
    </row>
    <row r="7" customFormat="false" ht="46.25" hidden="false" customHeight="false" outlineLevel="0" collapsed="false">
      <c r="B7" s="1"/>
      <c r="C7" s="1" t="s">
        <v>12</v>
      </c>
      <c r="D7" s="16" t="s">
        <v>10</v>
      </c>
      <c r="E7" s="17" t="s">
        <v>13</v>
      </c>
      <c r="F7" s="18" t="n">
        <f aca="false">IF(D7="SI",1,0)</f>
        <v>1</v>
      </c>
    </row>
    <row r="8" customFormat="false" ht="61.15" hidden="false" customHeight="false" outlineLevel="0" collapsed="false">
      <c r="B8" s="1"/>
      <c r="C8" s="1" t="s">
        <v>14</v>
      </c>
      <c r="D8" s="16" t="s">
        <v>10</v>
      </c>
      <c r="E8" s="17" t="s">
        <v>15</v>
      </c>
      <c r="F8" s="18" t="n">
        <f aca="false">IF(D8="SI",1,0)</f>
        <v>1</v>
      </c>
    </row>
    <row r="9" customFormat="false" ht="91" hidden="false" customHeight="false" outlineLevel="0" collapsed="false">
      <c r="B9" s="1"/>
      <c r="C9" s="1" t="s">
        <v>16</v>
      </c>
      <c r="D9" s="16" t="s">
        <v>10</v>
      </c>
      <c r="E9" s="17" t="s">
        <v>17</v>
      </c>
      <c r="F9" s="18" t="n">
        <f aca="false">IF(D9="SI",1,0)</f>
        <v>1</v>
      </c>
    </row>
    <row r="10" customFormat="false" ht="46.25" hidden="false" customHeight="false" outlineLevel="0" collapsed="false">
      <c r="A10" s="14" t="n">
        <f aca="false">A6+1</f>
        <v>2</v>
      </c>
      <c r="B10" s="15" t="s">
        <v>18</v>
      </c>
      <c r="C10" s="1" t="s">
        <v>19</v>
      </c>
      <c r="D10" s="16" t="s">
        <v>10</v>
      </c>
      <c r="E10" s="17" t="s">
        <v>20</v>
      </c>
      <c r="F10" s="18" t="n">
        <f aca="false">IF(D10="SI",1,0)</f>
        <v>1</v>
      </c>
    </row>
    <row r="11" customFormat="false" ht="76.1" hidden="false" customHeight="false" outlineLevel="0" collapsed="false">
      <c r="B11" s="1"/>
      <c r="C11" s="1" t="s">
        <v>21</v>
      </c>
      <c r="D11" s="16" t="s">
        <v>10</v>
      </c>
      <c r="E11" s="17" t="s">
        <v>22</v>
      </c>
      <c r="F11" s="18" t="n">
        <f aca="false">IF(D11="SI",1,0)</f>
        <v>1</v>
      </c>
    </row>
    <row r="12" customFormat="false" ht="61.15" hidden="false" customHeight="false" outlineLevel="0" collapsed="false">
      <c r="A12" s="14" t="n">
        <f aca="false">A10+1</f>
        <v>3</v>
      </c>
      <c r="B12" s="15" t="s">
        <v>23</v>
      </c>
      <c r="C12" s="1" t="s">
        <v>24</v>
      </c>
      <c r="D12" s="16" t="s">
        <v>10</v>
      </c>
      <c r="E12" s="17" t="s">
        <v>25</v>
      </c>
      <c r="F12" s="18" t="n">
        <f aca="false">IF(D12="SI",1,0)</f>
        <v>1</v>
      </c>
    </row>
    <row r="13" customFormat="false" ht="31.3" hidden="false" customHeight="false" outlineLevel="0" collapsed="false">
      <c r="B13" s="1"/>
      <c r="C13" s="1" t="s">
        <v>26</v>
      </c>
      <c r="D13" s="16" t="s">
        <v>10</v>
      </c>
      <c r="E13" s="17" t="s">
        <v>27</v>
      </c>
      <c r="F13" s="18" t="n">
        <f aca="false">IF(D13="SI",1,0)</f>
        <v>1</v>
      </c>
    </row>
    <row r="14" customFormat="false" ht="76.1" hidden="false" customHeight="false" outlineLevel="0" collapsed="false">
      <c r="A14" s="14" t="n">
        <v>4</v>
      </c>
      <c r="B14" s="15" t="s">
        <v>28</v>
      </c>
      <c r="C14" s="19" t="s">
        <v>29</v>
      </c>
      <c r="D14" s="16" t="s">
        <v>10</v>
      </c>
      <c r="E14" s="17" t="s">
        <v>30</v>
      </c>
      <c r="F14" s="18" t="n">
        <f aca="false">IF(D14="SI",1,0)</f>
        <v>1</v>
      </c>
    </row>
    <row r="15" customFormat="false" ht="76.1" hidden="false" customHeight="false" outlineLevel="0" collapsed="false">
      <c r="C15" s="19" t="s">
        <v>31</v>
      </c>
      <c r="D15" s="16" t="s">
        <v>10</v>
      </c>
      <c r="E15" s="17" t="s">
        <v>32</v>
      </c>
      <c r="F15" s="18" t="n">
        <f aca="false">IF(D15="SI",1,0)</f>
        <v>1</v>
      </c>
    </row>
    <row r="16" customFormat="false" ht="46.25" hidden="false" customHeight="false" outlineLevel="0" collapsed="false">
      <c r="B16" s="1"/>
      <c r="C16" s="19" t="s">
        <v>33</v>
      </c>
      <c r="D16" s="16" t="s">
        <v>10</v>
      </c>
      <c r="E16" s="17" t="s">
        <v>34</v>
      </c>
      <c r="F16" s="18" t="n">
        <f aca="false">IF(D16="SI",1,0)</f>
        <v>1</v>
      </c>
    </row>
    <row r="17" customFormat="false" ht="76.1" hidden="false" customHeight="false" outlineLevel="0" collapsed="false">
      <c r="B17" s="1"/>
      <c r="C17" s="19" t="s">
        <v>35</v>
      </c>
      <c r="D17" s="16" t="s">
        <v>10</v>
      </c>
      <c r="E17" s="17" t="s">
        <v>36</v>
      </c>
      <c r="F17" s="18" t="n">
        <f aca="false">IF(D17="SI",1,0)</f>
        <v>1</v>
      </c>
    </row>
    <row r="18" customFormat="false" ht="16.4" hidden="false" customHeight="false" outlineLevel="0" collapsed="false">
      <c r="B18" s="1"/>
      <c r="C18" s="19" t="s">
        <v>37</v>
      </c>
      <c r="D18" s="16" t="s">
        <v>10</v>
      </c>
      <c r="E18" s="17" t="s">
        <v>38</v>
      </c>
      <c r="F18" s="18" t="n">
        <f aca="false">IF(D18="SI",1,0)</f>
        <v>1</v>
      </c>
    </row>
    <row r="19" customFormat="false" ht="16.4" hidden="false" customHeight="false" outlineLevel="0" collapsed="false">
      <c r="A19" s="14" t="n">
        <v>5</v>
      </c>
      <c r="B19" s="15" t="s">
        <v>39</v>
      </c>
      <c r="C19" s="20" t="s">
        <v>40</v>
      </c>
      <c r="D19" s="16" t="s">
        <v>10</v>
      </c>
      <c r="E19" s="17" t="s">
        <v>41</v>
      </c>
      <c r="F19" s="18" t="n">
        <f aca="false">IF(D19="SI",1,0)</f>
        <v>1</v>
      </c>
    </row>
    <row r="20" customFormat="false" ht="16.4" hidden="false" customHeight="false" outlineLevel="0" collapsed="false">
      <c r="A20" s="14" t="n">
        <f aca="false">A19+1</f>
        <v>6</v>
      </c>
      <c r="B20" s="15" t="s">
        <v>42</v>
      </c>
      <c r="C20" s="20" t="s">
        <v>43</v>
      </c>
      <c r="D20" s="16" t="s">
        <v>10</v>
      </c>
      <c r="E20" s="17"/>
      <c r="F20" s="18" t="n">
        <f aca="false">IF(D20="SI",1,0)</f>
        <v>1</v>
      </c>
    </row>
    <row r="21" customFormat="false" ht="16.4" hidden="false" customHeight="false" outlineLevel="0" collapsed="false">
      <c r="B21" s="1"/>
      <c r="C21" s="20" t="s">
        <v>44</v>
      </c>
      <c r="D21" s="16" t="s">
        <v>10</v>
      </c>
      <c r="E21" s="17"/>
      <c r="F21" s="18" t="n">
        <f aca="false">IF(D21="SI",1,0)</f>
        <v>1</v>
      </c>
    </row>
    <row r="22" customFormat="false" ht="16.4" hidden="false" customHeight="false" outlineLevel="0" collapsed="false">
      <c r="B22" s="21"/>
      <c r="C22" s="20" t="s">
        <v>45</v>
      </c>
      <c r="D22" s="16" t="s">
        <v>10</v>
      </c>
      <c r="E22" s="17"/>
      <c r="F22" s="18" t="n">
        <f aca="false">IF(D22="SI",1,0)</f>
        <v>1</v>
      </c>
    </row>
    <row r="23" customFormat="false" ht="16.4" hidden="false" customHeight="false" outlineLevel="0" collapsed="false">
      <c r="B23" s="21"/>
      <c r="C23" s="20" t="s">
        <v>46</v>
      </c>
      <c r="D23" s="16" t="s">
        <v>10</v>
      </c>
      <c r="E23" s="17"/>
      <c r="F23" s="18" t="n">
        <f aca="false">IF(D23="SI",1,0)</f>
        <v>1</v>
      </c>
    </row>
    <row r="24" customFormat="false" ht="16.4" hidden="false" customHeight="false" outlineLevel="0" collapsed="false">
      <c r="B24" s="21"/>
      <c r="C24" s="22" t="s">
        <v>47</v>
      </c>
      <c r="D24" s="16" t="s">
        <v>10</v>
      </c>
      <c r="E24" s="17"/>
      <c r="F24" s="18" t="n">
        <f aca="false">IF(D24="SI",1,0)</f>
        <v>1</v>
      </c>
    </row>
    <row r="25" customFormat="false" ht="25.5" hidden="false" customHeight="true" outlineLevel="0" collapsed="false">
      <c r="B25" s="21"/>
      <c r="C25" s="20" t="s">
        <v>48</v>
      </c>
      <c r="D25" s="16" t="s">
        <v>10</v>
      </c>
      <c r="E25" s="17"/>
      <c r="F25" s="18" t="n">
        <f aca="false">IF(D25="SI",1,0)</f>
        <v>1</v>
      </c>
    </row>
    <row r="26" customFormat="false" ht="16.4" hidden="false" customHeight="false" outlineLevel="0" collapsed="false">
      <c r="C26" s="20" t="s">
        <v>49</v>
      </c>
      <c r="D26" s="16" t="s">
        <v>10</v>
      </c>
      <c r="F26" s="18" t="n">
        <f aca="false">IF(D26="SI",1,0)</f>
        <v>1</v>
      </c>
    </row>
    <row r="27" customFormat="false" ht="25.5" hidden="false" customHeight="true" outlineLevel="0" collapsed="false">
      <c r="B27" s="21"/>
      <c r="C27" s="20" t="s">
        <v>50</v>
      </c>
      <c r="D27" s="16" t="s">
        <v>10</v>
      </c>
      <c r="E27" s="17"/>
      <c r="F27" s="18" t="n">
        <f aca="false">IF(D27="SI",1,0)</f>
        <v>1</v>
      </c>
    </row>
    <row r="28" customFormat="false" ht="25.5" hidden="false" customHeight="true" outlineLevel="0" collapsed="false">
      <c r="B28" s="21"/>
      <c r="C28" s="20" t="s">
        <v>51</v>
      </c>
      <c r="D28" s="16" t="s">
        <v>10</v>
      </c>
      <c r="E28" s="17"/>
      <c r="F28" s="18" t="n">
        <f aca="false">IF(D28="SI",1,0)</f>
        <v>1</v>
      </c>
    </row>
    <row r="29" customFormat="false" ht="16.4" hidden="false" customHeight="false" outlineLevel="0" collapsed="false">
      <c r="A29" s="14" t="n">
        <f aca="false">A20+1</f>
        <v>7</v>
      </c>
      <c r="B29" s="15" t="s">
        <v>52</v>
      </c>
      <c r="C29" s="20" t="s">
        <v>53</v>
      </c>
      <c r="D29" s="16" t="s">
        <v>10</v>
      </c>
      <c r="E29" s="17"/>
      <c r="F29" s="18" t="n">
        <f aca="false">IF(D29="SI",1,0)</f>
        <v>1</v>
      </c>
    </row>
    <row r="30" customFormat="false" ht="210.25" hidden="false" customHeight="false" outlineLevel="0" collapsed="false">
      <c r="A30" s="14" t="n">
        <f aca="false">A29+1</f>
        <v>8</v>
      </c>
      <c r="B30" s="15" t="s">
        <v>54</v>
      </c>
      <c r="C30" s="1" t="s">
        <v>55</v>
      </c>
      <c r="D30" s="16" t="s">
        <v>10</v>
      </c>
      <c r="E30" s="17" t="s">
        <v>56</v>
      </c>
      <c r="F30" s="18" t="n">
        <f aca="false">IF(D30="SI",1,0)</f>
        <v>1</v>
      </c>
    </row>
    <row r="31" customFormat="false" ht="31.3" hidden="false" customHeight="false" outlineLevel="0" collapsed="false">
      <c r="A31" s="14" t="n">
        <f aca="false">A30+1</f>
        <v>9</v>
      </c>
      <c r="B31" s="15" t="s">
        <v>57</v>
      </c>
      <c r="C31" s="1" t="s">
        <v>58</v>
      </c>
      <c r="D31" s="16" t="s">
        <v>10</v>
      </c>
      <c r="E31" s="17" t="s">
        <v>59</v>
      </c>
      <c r="F31" s="18" t="n">
        <f aca="false">IF(D31="SI",1,0)</f>
        <v>1</v>
      </c>
    </row>
    <row r="32" customFormat="false" ht="31.3" hidden="false" customHeight="false" outlineLevel="0" collapsed="false">
      <c r="A32" s="14" t="n">
        <f aca="false">A31+1</f>
        <v>10</v>
      </c>
      <c r="B32" s="15" t="s">
        <v>60</v>
      </c>
      <c r="C32" s="1"/>
      <c r="D32" s="16" t="s">
        <v>10</v>
      </c>
      <c r="E32" s="17" t="s">
        <v>61</v>
      </c>
      <c r="F32" s="18" t="n">
        <f aca="false">IF(D32="SI",1,0)</f>
        <v>1</v>
      </c>
    </row>
    <row r="33" customFormat="false" ht="46.25" hidden="false" customHeight="false" outlineLevel="0" collapsed="false">
      <c r="A33" s="14" t="n">
        <f aca="false">A32+1</f>
        <v>11</v>
      </c>
      <c r="B33" s="15" t="s">
        <v>18</v>
      </c>
      <c r="C33" s="1" t="s">
        <v>62</v>
      </c>
      <c r="D33" s="16" t="s">
        <v>10</v>
      </c>
      <c r="E33" s="17" t="s">
        <v>63</v>
      </c>
      <c r="F33" s="18" t="n">
        <f aca="false">IF(D33="SI",1,0)</f>
        <v>1</v>
      </c>
    </row>
    <row r="34" customFormat="false" ht="61.15" hidden="false" customHeight="false" outlineLevel="0" collapsed="false">
      <c r="B34" s="1"/>
      <c r="C34" s="1" t="s">
        <v>64</v>
      </c>
      <c r="D34" s="16" t="s">
        <v>10</v>
      </c>
      <c r="E34" s="17" t="s">
        <v>65</v>
      </c>
      <c r="F34" s="18" t="n">
        <f aca="false">IF(D34="SI",1,0)</f>
        <v>1</v>
      </c>
    </row>
    <row r="35" customFormat="false" ht="46.25" hidden="false" customHeight="false" outlineLevel="0" collapsed="false">
      <c r="B35" s="1"/>
      <c r="C35" s="1" t="s">
        <v>66</v>
      </c>
      <c r="D35" s="16" t="s">
        <v>10</v>
      </c>
      <c r="E35" s="17" t="s">
        <v>67</v>
      </c>
      <c r="F35" s="18" t="n">
        <f aca="false">IF(D35="SI",1,0)</f>
        <v>1</v>
      </c>
    </row>
    <row r="36" customFormat="false" ht="31.3" hidden="false" customHeight="false" outlineLevel="0" collapsed="false">
      <c r="B36" s="1"/>
      <c r="C36" s="1" t="s">
        <v>68</v>
      </c>
      <c r="D36" s="16" t="s">
        <v>10</v>
      </c>
      <c r="E36" s="17" t="s">
        <v>69</v>
      </c>
      <c r="F36" s="18" t="n">
        <f aca="false">IF(D36="SI",1,0)</f>
        <v>1</v>
      </c>
    </row>
    <row r="37" customFormat="false" ht="91" hidden="false" customHeight="false" outlineLevel="0" collapsed="false">
      <c r="B37" s="1"/>
      <c r="C37" s="1" t="s">
        <v>70</v>
      </c>
      <c r="D37" s="16" t="s">
        <v>10</v>
      </c>
      <c r="E37" s="17" t="s">
        <v>71</v>
      </c>
      <c r="F37" s="18" t="n">
        <f aca="false">IF(D37="SI",1,0)</f>
        <v>1</v>
      </c>
    </row>
    <row r="38" customFormat="false" ht="16.4" hidden="false" customHeight="false" outlineLevel="0" collapsed="false">
      <c r="B38" s="1"/>
      <c r="C38" s="1" t="s">
        <v>72</v>
      </c>
      <c r="D38" s="16" t="s">
        <v>10</v>
      </c>
      <c r="E38" s="17" t="s">
        <v>73</v>
      </c>
      <c r="F38" s="18" t="n">
        <f aca="false">IF(D38="SI",1,0)</f>
        <v>1</v>
      </c>
    </row>
    <row r="39" customFormat="false" ht="14.25" hidden="false" customHeight="false" outlineLevel="0" collapsed="false">
      <c r="B39" s="1"/>
      <c r="C39" s="1"/>
      <c r="D39" s="1"/>
      <c r="E39" s="23"/>
      <c r="F39" s="24" t="n">
        <f aca="false">SUM(F6:F38)/COUNT(F6:F38)*2</f>
        <v>2</v>
      </c>
    </row>
    <row r="40" customFormat="false" ht="22.05" hidden="false" customHeight="false" outlineLevel="0" collapsed="false">
      <c r="B40" s="25" t="s">
        <v>74</v>
      </c>
      <c r="C40" s="1"/>
      <c r="D40" s="1"/>
      <c r="E40" s="23"/>
      <c r="G40" s="26"/>
      <c r="H40" s="26"/>
      <c r="I40" s="26"/>
      <c r="J40" s="26"/>
      <c r="K40" s="26"/>
      <c r="L40" s="26"/>
      <c r="M40" s="26"/>
      <c r="N40" s="26"/>
      <c r="O40" s="26"/>
      <c r="P40" s="26"/>
      <c r="Q40" s="26"/>
      <c r="R40" s="26"/>
      <c r="S40" s="26"/>
      <c r="T40" s="26"/>
    </row>
    <row r="41" customFormat="false" ht="22.05" hidden="false" customHeight="false" outlineLevel="0" collapsed="false">
      <c r="B41" s="25" t="s">
        <v>75</v>
      </c>
      <c r="C41" s="1"/>
      <c r="D41" s="1"/>
      <c r="E41" s="23"/>
    </row>
    <row r="42" customFormat="false" ht="22.05" hidden="false" customHeight="false" outlineLevel="0" collapsed="false">
      <c r="B42" s="25" t="s">
        <v>76</v>
      </c>
      <c r="C42" s="1"/>
      <c r="D42" s="1"/>
      <c r="E42" s="23"/>
    </row>
    <row r="43" customFormat="false" ht="14.25" hidden="false" customHeight="false" outlineLevel="0" collapsed="false">
      <c r="B43" s="1"/>
      <c r="C43" s="1"/>
      <c r="D43" s="1"/>
      <c r="E43" s="23"/>
    </row>
    <row r="44" customFormat="false" ht="14.25" hidden="false" customHeight="false" outlineLevel="0" collapsed="false">
      <c r="B44" s="1"/>
      <c r="E44" s="23"/>
    </row>
    <row r="45" customFormat="false" ht="16.4" hidden="false" customHeight="false" outlineLevel="0" collapsed="false">
      <c r="A45" s="14" t="n">
        <v>1</v>
      </c>
      <c r="B45" s="15" t="s">
        <v>77</v>
      </c>
      <c r="C45" s="1" t="s">
        <v>78</v>
      </c>
      <c r="D45" s="16" t="s">
        <v>10</v>
      </c>
      <c r="E45" s="17" t="s">
        <v>79</v>
      </c>
      <c r="F45" s="18" t="n">
        <f aca="false">IF(D45="SI",1,0)</f>
        <v>1</v>
      </c>
    </row>
    <row r="46" customFormat="false" ht="16.4" hidden="false" customHeight="false" outlineLevel="0" collapsed="false">
      <c r="A46" s="5"/>
      <c r="B46" s="27"/>
      <c r="C46" s="1" t="s">
        <v>80</v>
      </c>
      <c r="D46" s="16" t="s">
        <v>10</v>
      </c>
      <c r="E46" s="17"/>
      <c r="F46" s="18" t="n">
        <f aca="false">IF(D46="SI",1,0)</f>
        <v>1</v>
      </c>
    </row>
    <row r="47" customFormat="false" ht="16.4" hidden="false" customHeight="false" outlineLevel="0" collapsed="false">
      <c r="A47" s="5"/>
      <c r="B47" s="27"/>
      <c r="C47" s="1" t="s">
        <v>81</v>
      </c>
      <c r="D47" s="16" t="s">
        <v>10</v>
      </c>
      <c r="E47" s="17"/>
      <c r="F47" s="18" t="n">
        <f aca="false">IF(D47="SI",1,0)</f>
        <v>1</v>
      </c>
    </row>
    <row r="48" customFormat="false" ht="16.4" hidden="false" customHeight="false" outlineLevel="0" collapsed="false">
      <c r="A48" s="5"/>
      <c r="B48" s="27"/>
      <c r="C48" s="1" t="s">
        <v>82</v>
      </c>
      <c r="D48" s="16" t="s">
        <v>10</v>
      </c>
      <c r="E48" s="17"/>
      <c r="F48" s="18" t="n">
        <f aca="false">IF(D48="SI",1,0)</f>
        <v>1</v>
      </c>
    </row>
    <row r="49" customFormat="false" ht="16.4" hidden="false" customHeight="false" outlineLevel="0" collapsed="false">
      <c r="A49" s="5"/>
      <c r="B49" s="27"/>
      <c r="C49" s="1" t="s">
        <v>83</v>
      </c>
      <c r="D49" s="16" t="s">
        <v>10</v>
      </c>
      <c r="E49" s="17"/>
      <c r="F49" s="18" t="n">
        <f aca="false">IF(D49="SI",1,0)</f>
        <v>1</v>
      </c>
    </row>
    <row r="50" customFormat="false" ht="165.65" hidden="false" customHeight="false" outlineLevel="0" collapsed="false">
      <c r="A50" s="14" t="n">
        <v>2</v>
      </c>
      <c r="B50" s="15" t="s">
        <v>84</v>
      </c>
      <c r="C50" s="1" t="s">
        <v>85</v>
      </c>
      <c r="D50" s="16" t="s">
        <v>10</v>
      </c>
      <c r="E50" s="17" t="s">
        <v>86</v>
      </c>
      <c r="F50" s="18" t="n">
        <f aca="false">IF(D50="SI",1,0)</f>
        <v>1</v>
      </c>
    </row>
    <row r="51" customFormat="false" ht="16.4" hidden="false" customHeight="false" outlineLevel="0" collapsed="false">
      <c r="A51" s="27"/>
      <c r="B51" s="27"/>
      <c r="C51" s="1" t="s">
        <v>87</v>
      </c>
      <c r="D51" s="16" t="s">
        <v>10</v>
      </c>
      <c r="E51" s="17" t="s">
        <v>88</v>
      </c>
      <c r="F51" s="18" t="n">
        <f aca="false">IF(D51="SI",1,0)</f>
        <v>1</v>
      </c>
    </row>
    <row r="52" customFormat="false" ht="46.25" hidden="false" customHeight="false" outlineLevel="0" collapsed="false">
      <c r="A52" s="14" t="n">
        <v>3</v>
      </c>
      <c r="B52" s="28" t="s">
        <v>89</v>
      </c>
      <c r="C52" s="1" t="s">
        <v>90</v>
      </c>
      <c r="D52" s="16" t="s">
        <v>91</v>
      </c>
      <c r="E52" s="17"/>
      <c r="F52" s="18" t="n">
        <f aca="false">IF(D52="SI",1,0)</f>
        <v>0</v>
      </c>
    </row>
    <row r="53" customFormat="false" ht="16.4" hidden="false" customHeight="false" outlineLevel="0" collapsed="false">
      <c r="B53" s="1"/>
      <c r="C53" s="29" t="s">
        <v>92</v>
      </c>
      <c r="D53" s="16" t="s">
        <v>10</v>
      </c>
      <c r="E53" s="17" t="s">
        <v>93</v>
      </c>
      <c r="F53" s="18" t="n">
        <f aca="false">IF(D53="SI",1,0)</f>
        <v>1</v>
      </c>
    </row>
    <row r="54" customFormat="false" ht="61.15" hidden="false" customHeight="false" outlineLevel="0" collapsed="false">
      <c r="A54" s="14" t="n">
        <f aca="false">A52+1</f>
        <v>4</v>
      </c>
      <c r="B54" s="15" t="s">
        <v>94</v>
      </c>
      <c r="C54" s="1" t="s">
        <v>95</v>
      </c>
      <c r="D54" s="16" t="s">
        <v>10</v>
      </c>
      <c r="E54" s="17" t="s">
        <v>96</v>
      </c>
      <c r="F54" s="18" t="n">
        <f aca="false">IF(D54="SI",1,0)</f>
        <v>1</v>
      </c>
    </row>
    <row r="55" customFormat="false" ht="46.25" hidden="false" customHeight="false" outlineLevel="0" collapsed="false">
      <c r="A55" s="14" t="n">
        <f aca="false">A54+1</f>
        <v>5</v>
      </c>
      <c r="B55" s="15" t="s">
        <v>97</v>
      </c>
      <c r="C55" s="1" t="s">
        <v>98</v>
      </c>
      <c r="D55" s="16" t="s">
        <v>10</v>
      </c>
      <c r="E55" s="17"/>
      <c r="F55" s="18" t="n">
        <f aca="false">IF(D55="SI",1,0)</f>
        <v>1</v>
      </c>
    </row>
    <row r="56" customFormat="false" ht="31.3" hidden="false" customHeight="false" outlineLevel="0" collapsed="false">
      <c r="B56" s="1"/>
      <c r="C56" s="1" t="s">
        <v>99</v>
      </c>
      <c r="D56" s="16" t="s">
        <v>91</v>
      </c>
      <c r="E56" s="17"/>
      <c r="F56" s="18" t="n">
        <f aca="false">IF(D56="SI",1,0)</f>
        <v>0</v>
      </c>
    </row>
    <row r="57" customFormat="false" ht="46.25" hidden="false" customHeight="false" outlineLevel="0" collapsed="false">
      <c r="B57" s="1"/>
      <c r="C57" s="1" t="s">
        <v>100</v>
      </c>
      <c r="D57" s="16" t="s">
        <v>10</v>
      </c>
      <c r="E57" s="17" t="s">
        <v>101</v>
      </c>
      <c r="F57" s="18" t="n">
        <f aca="false">IF(D57="SI",1,0)</f>
        <v>1</v>
      </c>
    </row>
    <row r="58" customFormat="false" ht="31.3" hidden="false" customHeight="false" outlineLevel="0" collapsed="false">
      <c r="A58" s="14" t="n">
        <v>7</v>
      </c>
      <c r="B58" s="15" t="s">
        <v>102</v>
      </c>
      <c r="C58" s="1" t="s">
        <v>103</v>
      </c>
      <c r="D58" s="16" t="s">
        <v>91</v>
      </c>
      <c r="F58" s="18" t="n">
        <f aca="false">IF(D58="SI",1,0)</f>
        <v>0</v>
      </c>
    </row>
    <row r="59" customFormat="false" ht="17.9" hidden="false" customHeight="false" outlineLevel="0" collapsed="false">
      <c r="A59" s="1"/>
      <c r="B59" s="30" t="s">
        <v>104</v>
      </c>
      <c r="C59" s="1"/>
      <c r="F59" s="26" t="n">
        <f aca="false">SUM(F45:F58)/COUNT(F45:F58)*2</f>
        <v>1.57142857142857</v>
      </c>
    </row>
    <row r="60" customFormat="false" ht="17.9" hidden="false" customHeight="false" outlineLevel="0" collapsed="false">
      <c r="A60" s="1"/>
      <c r="B60" s="30" t="s">
        <v>105</v>
      </c>
      <c r="C60" s="1"/>
      <c r="F60" s="26" t="n">
        <f aca="false">F59+F39</f>
        <v>3.57142857142857</v>
      </c>
      <c r="G60" s="26"/>
      <c r="H60" s="26"/>
      <c r="I60" s="26"/>
      <c r="J60" s="26"/>
      <c r="K60" s="26"/>
      <c r="L60" s="26"/>
      <c r="M60" s="26"/>
      <c r="N60" s="26"/>
      <c r="O60" s="26"/>
      <c r="P60" s="26"/>
      <c r="Q60" s="26"/>
      <c r="R60" s="26"/>
      <c r="S60" s="26"/>
      <c r="T60" s="26"/>
      <c r="U60" s="26"/>
    </row>
    <row r="61" customFormat="false" ht="14.25" hidden="false" customHeight="false" outlineLevel="0" collapsed="false">
      <c r="A61" s="1"/>
      <c r="B61" s="1"/>
      <c r="C61" s="1"/>
      <c r="G61" s="26"/>
      <c r="H61" s="26"/>
      <c r="I61" s="26"/>
      <c r="J61" s="26"/>
      <c r="K61" s="26"/>
      <c r="L61" s="26"/>
      <c r="M61" s="26"/>
      <c r="N61" s="26"/>
      <c r="O61" s="26"/>
      <c r="P61" s="26"/>
      <c r="Q61" s="26"/>
      <c r="R61" s="26"/>
      <c r="S61" s="26"/>
      <c r="T61" s="26"/>
      <c r="U61" s="26"/>
    </row>
  </sheetData>
  <sheetProtection algorithmName="SHA-512" hashValue="pLnJksN1O4JFNeFkhTIhGYhJTLDdmXoRv2/Vb2LfASldrytQNcHgppVq6lvDBRdle/X7bU34xBzNBBUtIHvkIg==" saltValue="qk3Hy+ikUCcXbkpIUUMjpw==" spinCount="100000" sheet="true"/>
  <dataValidations count="1">
    <dataValidation allowBlank="true" errorStyle="stop" operator="between" showDropDown="false" showErrorMessage="true" showInputMessage="true" sqref="D6:D38 D45:D58" type="list">
      <formula1>Hoja2!$A$2:$A$3</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59765625" defaultRowHeight="14.25" zeroHeight="false" outlineLevelRow="0" outlineLevelCol="0"/>
  <cols>
    <col collapsed="false" customWidth="true" hidden="false" outlineLevel="0" max="1" min="1" style="0" width="12"/>
  </cols>
  <sheetData>
    <row r="1" customFormat="false" ht="14.25" hidden="false" customHeight="false" outlineLevel="0" collapsed="false">
      <c r="A1" s="31" t="s">
        <v>106</v>
      </c>
    </row>
    <row r="2" customFormat="false" ht="14.25" hidden="false" customHeight="false" outlineLevel="0" collapsed="false">
      <c r="A2" s="0" t="s">
        <v>10</v>
      </c>
    </row>
    <row r="3" customFormat="false" ht="14.25" hidden="false" customHeight="false" outlineLevel="0" collapsed="false">
      <c r="A3" s="0" t="s">
        <v>91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2016-05-15T10:43:58Z</dcterms:created>
  <dc:creator>Onieva</dc:creator>
  <dc:description/>
  <dc:language>en-US</dc:language>
  <cp:lastModifiedBy/>
  <dcterms:modified xsi:type="dcterms:W3CDTF">2025-05-29T10:03:28Z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
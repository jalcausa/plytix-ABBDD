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autoCompressPictures="0"/>
  <mc:AlternateContent xmlns:mc="http://schemas.openxmlformats.org/markup-compatibility/2006">
    <mc:Choice Requires="x15">
      <x15ac:absPath xmlns:x15ac="http://schemas.microsoft.com/office/spreadsheetml/2010/11/ac" url="C:\Users\jcalc\Documentos\Carrera\Cuarto\plytix-ABBDD\"/>
    </mc:Choice>
  </mc:AlternateContent>
  <xr:revisionPtr revIDLastSave="0" documentId="13_ncr:1_{4402E0E7-B767-44B0-B4E2-ECB38A0443D7}" xr6:coauthVersionLast="47" xr6:coauthVersionMax="47" xr10:uidLastSave="{00000000-0000-0000-0000-000000000000}"/>
  <bookViews>
    <workbookView xWindow="-110" yWindow="-110" windowWidth="19420" windowHeight="11020" xr2:uid="{00000000-000D-0000-FFFF-FFFF00000000}"/>
  </bookViews>
  <sheets>
    <sheet name="Hoja1" sheetId="3" r:id="rId1"/>
    <sheet name="Hoja2" sheetId="2" state="hidden"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54" i="3" l="1"/>
  <c r="F51" i="3"/>
  <c r="F46" i="3"/>
  <c r="F47" i="3"/>
  <c r="F48" i="3"/>
  <c r="F49" i="3"/>
  <c r="F28" i="3"/>
  <c r="F9" i="3"/>
  <c r="F35" i="3"/>
  <c r="F36" i="3"/>
  <c r="F37" i="3"/>
  <c r="F38" i="3"/>
  <c r="F54" i="3"/>
  <c r="F55" i="3"/>
  <c r="F56" i="3"/>
  <c r="F57" i="3"/>
  <c r="F58" i="3"/>
  <c r="F50" i="3"/>
  <c r="F52" i="3"/>
  <c r="F53" i="3"/>
  <c r="F33" i="3"/>
  <c r="F34" i="3"/>
  <c r="F45" i="3"/>
  <c r="F27" i="3"/>
  <c r="F26" i="3"/>
  <c r="F7" i="3"/>
  <c r="F8" i="3"/>
  <c r="F10" i="3"/>
  <c r="F11" i="3"/>
  <c r="F12" i="3"/>
  <c r="F13" i="3"/>
  <c r="F14" i="3"/>
  <c r="F15" i="3"/>
  <c r="F16" i="3"/>
  <c r="F17" i="3"/>
  <c r="F18" i="3"/>
  <c r="F19" i="3"/>
  <c r="F20" i="3"/>
  <c r="F21" i="3"/>
  <c r="F22" i="3"/>
  <c r="F23" i="3"/>
  <c r="F24" i="3"/>
  <c r="F25" i="3"/>
  <c r="F29" i="3"/>
  <c r="F30" i="3"/>
  <c r="F31" i="3"/>
  <c r="F32" i="3"/>
  <c r="F59" i="3" l="1"/>
  <c r="F6" i="3"/>
  <c r="F39" i="3" s="1"/>
  <c r="A10" i="3"/>
  <c r="A12" i="3" s="1"/>
  <c r="A20" i="3" l="1"/>
  <c r="A29" i="3" s="1"/>
  <c r="A30" i="3" s="1"/>
  <c r="A31" i="3" s="1"/>
  <c r="A32" i="3" s="1"/>
  <c r="A33" i="3" s="1"/>
  <c r="A55" i="3" s="1"/>
  <c r="F60" i="3" l="1"/>
</calcChain>
</file>

<file path=xl/sharedStrings.xml><?xml version="1.0" encoding="utf-8"?>
<sst xmlns="http://schemas.openxmlformats.org/spreadsheetml/2006/main" count="155" uniqueCount="107">
  <si>
    <t>Miscelanea</t>
  </si>
  <si>
    <t>Se han introducido (SUFICIENTES) datos para comprobar la integridad referencial del modelo lógico?</t>
  </si>
  <si>
    <t>Evidencias: Dónde debe mirar el profesor para comprobar que se ha hecho</t>
  </si>
  <si>
    <t>Elementos</t>
  </si>
  <si>
    <t>Nombre del Grupo:</t>
  </si>
  <si>
    <t>Realizado (SI/NO)</t>
  </si>
  <si>
    <t>SI</t>
  </si>
  <si>
    <t>NO</t>
  </si>
  <si>
    <t>Columna1</t>
  </si>
  <si>
    <t>Si has contestado NO a alguna de las pregunas anteriores, el trabajo se considera no superado</t>
  </si>
  <si>
    <t>Si has contestado SI a todas las pregunas anteriores, y el trabajo está correcto, la nota del trabajo en grupo será 2 sobre 4</t>
  </si>
  <si>
    <t>Para subir la nota se deben realizar las siguientes opciones:</t>
  </si>
  <si>
    <t xml:space="preserve">Paquetes PL/SQL </t>
  </si>
  <si>
    <t>Se han creado índices en la base de datos? De qué tipo? Porqué? Cuales?</t>
  </si>
  <si>
    <t>¿Se ha creado un esquema distinto para el trabajo?</t>
  </si>
  <si>
    <t>¿Se han probado todas las funcionalidades insertando datos coherentes?</t>
  </si>
  <si>
    <t>¿Es el diseño (modelo E/R) de la base de datos correcto?</t>
  </si>
  <si>
    <t>¿Se comprueban restricciones semánticas? El rango debe estar dentro de ..., números no negativos en ciertos campos, comparación de fechas, etc.</t>
  </si>
  <si>
    <t>Se han creado Restricciones NOT NULL / UNIQUE</t>
  </si>
  <si>
    <t>Seguridad</t>
  </si>
  <si>
    <t>Se han creado  roles adecuadamente</t>
  </si>
  <si>
    <t>Se han asignado usuarios a los roles adecuadamente</t>
  </si>
  <si>
    <t>Se han asignado los permisos de forma restrictiva a todos los usuarios. Ejemplos:</t>
  </si>
  <si>
    <t>Alguna política de gestión de contraseñas</t>
  </si>
  <si>
    <t>Se han tratado correctamente las mayusculas/minusculas en triggers, índices, etc.</t>
  </si>
  <si>
    <t>Transacciones</t>
  </si>
  <si>
    <t>Auditoria</t>
  </si>
  <si>
    <t>Vistas</t>
  </si>
  <si>
    <t>¿Se han creado los siguientes objetos?</t>
  </si>
  <si>
    <t>Triggers</t>
  </si>
  <si>
    <t>Excepciones</t>
  </si>
  <si>
    <t>Se han controlado excepciones</t>
  </si>
  <si>
    <t>Se han confirmado/deshecho las transacciones en los procedimientos y en los paquetes</t>
  </si>
  <si>
    <t>Se ha activado TDE y encriptado algunas columnas</t>
  </si>
  <si>
    <t>¿Se han introducido procedimientos/funciones/jobs/triggers o vistas adicionales a las propuestas?</t>
  </si>
  <si>
    <t>Integrantes  que han colaborado en el trabajo en orden alfabético de apellidos:</t>
  </si>
  <si>
    <t>Nota</t>
  </si>
  <si>
    <t>Nota final</t>
  </si>
  <si>
    <t>Grupo</t>
  </si>
  <si>
    <t>Nota:</t>
  </si>
  <si>
    <t>¿Se ha cifrado alguna columna como se indicaba en la práctica de seguridad?</t>
  </si>
  <si>
    <t>¿Se ha aplicado alguna política de autorización VPD?</t>
  </si>
  <si>
    <t>Operaciones a realizar por los usuarios</t>
  </si>
  <si>
    <t>Permisos</t>
  </si>
  <si>
    <t>Paquetes</t>
  </si>
  <si>
    <t>JOBS</t>
  </si>
  <si>
    <t>Procedimientos (dentro del paquete)</t>
  </si>
  <si>
    <t>Se ha configurado AUDIT para modificación de citas o sesiones de entrenamiento o se ha creado un Trigger</t>
  </si>
  <si>
    <t>Se ha creado el tablespace independiente TS_PLYTIX y TS_INDICES para el trabajo?</t>
  </si>
  <si>
    <t>¿Se han importado los datos a la tablas Cuentas, Planes, Usuarios, Productos tal y como se especificaba en la práctica de nivel físico? ¿Se ha creado la tabla externa?</t>
  </si>
  <si>
    <t>V_PRODUCTO_PUBLICO</t>
  </si>
  <si>
    <t>Gestión de Productos, Activos y Categorías</t>
  </si>
  <si>
    <t>Gestión de Atributos y Relaciones entre Productos</t>
  </si>
  <si>
    <t>Gestión de las Cuentas</t>
  </si>
  <si>
    <t>Gestión de los Planes</t>
  </si>
  <si>
    <t>PKG_ADMIN_PRODUCTOS</t>
  </si>
  <si>
    <t>F_OBTENER_PLAN_CUENTA</t>
  </si>
  <si>
    <t>F_CONTAR_PRODUCTOS_CUENTA</t>
  </si>
  <si>
    <t>F_VALIDAR_ATRIBUTOS_PRODUCTO</t>
  </si>
  <si>
    <t>P_ACTUALIZAR_NOMBRE_PRODUCTO</t>
  </si>
  <si>
    <t>P_ASOCIAR_ACTIVO_A_PRODUCTO</t>
  </si>
  <si>
    <t>P_ELIMINAR_PRODUCTO_Y_ASOCIACIONES</t>
  </si>
  <si>
    <t>P_CREAR_USUARIO</t>
  </si>
  <si>
    <t>TR_PRODUCTOS</t>
  </si>
  <si>
    <t>PKG_ADMIN_PRODUCTOS_AVANZADO</t>
  </si>
  <si>
    <t>J_LIMPIA_TRAZA</t>
  </si>
  <si>
    <t>Contexto</t>
  </si>
  <si>
    <t>¿Se ha utilizado contexto de aplicaciones para distinguir el usuario activo y sus permisos?</t>
  </si>
  <si>
    <t>Gestión de Productos por Usuario Estándar</t>
  </si>
  <si>
    <t>¿Se ha creado la tabla TRAZA y se usa para seguir errores?</t>
  </si>
  <si>
    <t>F_NUM_CATEGORIAS_CUENTA</t>
  </si>
  <si>
    <t>P_ACTUALIZAR_PRODUCTOS</t>
  </si>
  <si>
    <t>F_VALIDAR_PLAN_SUFICIENTE</t>
  </si>
  <si>
    <t>P_MIGRAR_PRODUCTOS_A_CATEGORIA</t>
  </si>
  <si>
    <t>P_REPLICAR_ATRIBUTOS</t>
  </si>
  <si>
    <t>J_ACTUALIZA_PRODUCTOS</t>
  </si>
  <si>
    <t>Materializada: VM_PRODUCTOS</t>
  </si>
  <si>
    <t>F_LISTA_CATEGORIAS_PRODUCTO</t>
  </si>
  <si>
    <t>SELECT * FROM USER_TABLESPACES;</t>
  </si>
  <si>
    <t>Sí, EMAIL_IDX de tipo btree, NOMBRECOMPLETO_IDX de tipo función y NOMBREUSUARIO_IDX de tipo bitmap. Para mejorar la eficiencia al consultar esos atributos.</t>
  </si>
  <si>
    <t>SELECT * FROM ALL_EXTERNAL_TABLES;</t>
  </si>
  <si>
    <t>Como se puede comprobar en el paquete PKG_ADMIN_PRODUCTOS y en PKG_ADMIN_PRODUCTOS_AVANZADO cada vez que se lanza una excepción distinta a las que  hemos declarado lo registramos en la tabla TRAZA con la información necesaria para saber dónde se ha producido</t>
  </si>
  <si>
    <t>Hemos usado las políticas de seguridad para controlar que el usuario estándar solo pueda acceder a los atributos de su cuenta. Como SYSTEM: SELECT * FROM DBA_POLICIES
WHERE OBJECT_OWNER = 'PLYTIX';</t>
  </si>
  <si>
    <t>Hemos aplicado la siguiente política: ALTER PROFILE DEFAULT LIMIT
  FAILED_LOGIN_ATTEMPTS 3
  PASSWORD_LOCK_TIME 1
  PASSWORD_LIFE_TIME 180. Se puede comprobar con: SELECT * FROM dba_profiles WHERE profile = 'DEFAULT';</t>
  </si>
  <si>
    <t>Ver apartado anterior de seguridad al respecto</t>
  </si>
  <si>
    <t>Hemos cifrado la columa teléfono de la tabla usuario, se puede comprobar con: SELECT * FROM DBA_ENCRYPTED_COLUMNS;</t>
  </si>
  <si>
    <t>SELECT object_name, object_type FROM all_objects WHERE object_type = 'VIEW'   AND object_name = 'V_PRODUCTO_PUBLICO'; (Se crea en el script de la entrega 2 de nivel físico)</t>
  </si>
  <si>
    <t xml:space="preserve">SELECT owner, mview_name FROM all_mviews WHERE mview_name = 'VM_PRODUCTO'; </t>
  </si>
  <si>
    <t>Vista V_PRODUCTO_STD y Triggers INSTEAD OF para operaciones CRUD que: En INSERT: Asignan automáticamente la CUENTA_ID del usuario actual En UPDATE/DELETE: Solo permiten modificar productos de su cuenta</t>
  </si>
  <si>
    <t>Productos explicado arriba. Para Activos: Vista V_ACTIVO_STD: Solo activos de su cuenta y Triggers similares que verifican pertenencia a la cuenta del usuario Vista adicional V_ACTIVO_CATEGORIA_STD para gestionar relaciones activo-categoría</t>
  </si>
  <si>
    <t>Política de Seguridad VPD para Atributos. FUNCTION SOLO_USER_ATRIB. Para INSERT usa un trigger adicional ya que VPD no cubre esta operación</t>
  </si>
  <si>
    <t>Acceso completo a tabla CUENTA. Acceso limitado a información de usuarios:
Vista V_USUARIO_GESTOR: Excluye datos sensibles (Email, Teléfono). Trigger de protección impide eliminar usuarios que son propietarios de cuentas</t>
  </si>
  <si>
    <t>Acceso completo a tabla PLAN</t>
  </si>
  <si>
    <t>Mirar paquete</t>
  </si>
  <si>
    <t>Se han declarado excepciones personalizadas que se pueden ver en las declaraciones del paquete</t>
  </si>
  <si>
    <t>Sí, se han hecho test para todos los procedimientos y funciones</t>
  </si>
  <si>
    <t>Mirar paquete en la BD</t>
  </si>
  <si>
    <t>SELECT 
    job_name,
    job_type,
    job_action,
    start_date,
    repeat_interval,
    next_run_date,
    state,
    enabled
FROM user_scheduler_jobs
ORDER BY job_name;</t>
  </si>
  <si>
    <t>Ídem</t>
  </si>
  <si>
    <t>En varias tablas, por ejemplo en usuario el nif</t>
  </si>
  <si>
    <t>Se audita la tabla PLAN: SELECT event_timestamp, dbusername, action_name, object_name, sql_text FROM UNIFIED_AUDIT_TRAIL WHERE object_name = 'PLAN' ORDER BY event_timestamp DESC;</t>
  </si>
  <si>
    <t>Se asignan a través de los roles, solo tienen permiso para acceder a las vistas correspondientes que se han creado para este propósito en la entrega 2 de nivel físico</t>
  </si>
  <si>
    <t>SELECT * FROM DBA_ROLES
WHERE ROLE IN ('R_USER_STD', 'R_GESTOR_CUENTA', 'R_PLANIFICADOR_SERVICIOS');</t>
  </si>
  <si>
    <t>El administrador del sistema es el propio PLYTIX. Se ha creado el usuario anagarcia como ejemplo de usuario estándar, el usuario gestorcuentas y el usuario planificador correspondiente a los otros dos roles</t>
  </si>
  <si>
    <t>Las especificadas en el enunciado 2 de la parte de nivel físico, se otorgan mediante roles</t>
  </si>
  <si>
    <t>Sí, en los procedimientos contenidos en los paquetes, las transacciones se confirman (COMMIT) tras completarse correctamente o después de insertar en la tabla TRAZA en caso de que ocurra una excepción. En los casos en los que no es necesario emplear dicha tabla, los cambios se revierten (ROLLBACK) para mantener la integridad de los datos.</t>
  </si>
  <si>
    <t>Hemos utilizado vistas para controlar los permisos que proporcionan los roles a los usuarios y triggers para inserción, modificación y actualización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</si>
</sst>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1"/>
      <color theme="1"/>
      <name val="Calibri"/>
      <family val="2"/>
      <scheme val="minor"/>
    </font>
    <font>
      <b/>
      <u/>
      <sz val="11"/>
      <color theme="1"/>
      <name val="Calibri"/>
      <family val="2"/>
      <scheme val="minor"/>
    </font>
    <font>
      <u/>
      <sz val="11"/>
      <color theme="10"/>
      <name val="Calibri"/>
      <family val="2"/>
      <scheme val="minor"/>
    </font>
    <font>
      <u/>
      <sz val="11"/>
      <color theme="11"/>
      <name val="Calibri"/>
      <family val="2"/>
      <scheme val="minor"/>
    </font>
    <font>
      <sz val="11"/>
      <color rgb="FF000000"/>
      <name val="Calibri"/>
      <family val="2"/>
      <scheme val="minor"/>
    </font>
    <font>
      <sz val="11"/>
      <name val="Calibri"/>
      <family val="2"/>
      <scheme val="minor"/>
    </font>
    <font>
      <sz val="18"/>
      <color rgb="FFFF0000"/>
      <name val="Calibri"/>
      <family val="2"/>
      <scheme val="minor"/>
    </font>
    <font>
      <b/>
      <sz val="12"/>
      <color theme="1"/>
      <name val="Calibri"/>
      <family val="2"/>
      <scheme val="minor"/>
    </font>
    <font>
      <b/>
      <sz val="18"/>
      <color theme="1"/>
      <name val="Calibri"/>
      <family val="2"/>
      <scheme val="minor"/>
    </font>
    <font>
      <sz val="10"/>
      <color rgb="FF000000"/>
      <name val="Tahoma"/>
      <family val="2"/>
    </font>
    <font>
      <sz val="11"/>
      <color theme="1"/>
      <name val="Courier New"/>
      <family val="3"/>
    </font>
    <font>
      <i/>
      <sz val="11"/>
      <color theme="1"/>
      <name val="Calibri"/>
      <family val="2"/>
      <scheme val="minor"/>
    </font>
    <font>
      <b/>
      <sz val="12"/>
      <color rgb="FF000000"/>
      <name val="Calibri"/>
      <family val="2"/>
      <scheme val="minor"/>
    </font>
    <font>
      <b/>
      <i/>
      <sz val="12"/>
      <color theme="1"/>
      <name val="Calibri"/>
      <family val="2"/>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right style="thin">
        <color indexed="64"/>
      </right>
      <top style="thin">
        <color indexed="64"/>
      </top>
      <bottom style="thin">
        <color indexed="64"/>
      </bottom>
      <diagonal/>
    </border>
    <border>
      <left/>
      <right/>
      <top style="thin">
        <color indexed="64"/>
      </top>
      <bottom/>
      <diagonal/>
    </border>
  </borders>
  <cellStyleXfs count="19">
    <xf numFmtId="0" fontId="0"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0">
    <xf numFmtId="0" fontId="0" fillId="0" borderId="0" xfId="0"/>
    <xf numFmtId="0" fontId="1" fillId="0" borderId="0" xfId="0" applyFont="1" applyAlignment="1">
      <alignment horizontal="left"/>
    </xf>
    <xf numFmtId="0" fontId="1" fillId="0" borderId="0" xfId="0" applyFont="1" applyAlignment="1">
      <alignment horizontal="left" wrapText="1"/>
    </xf>
    <xf numFmtId="0" fontId="2" fillId="0" borderId="0" xfId="0" applyFont="1" applyAlignment="1">
      <alignment wrapText="1"/>
    </xf>
    <xf numFmtId="0" fontId="1" fillId="0" borderId="0" xfId="0" applyFont="1" applyAlignment="1">
      <alignment wrapText="1"/>
    </xf>
    <xf numFmtId="0" fontId="0" fillId="0" borderId="0" xfId="0" applyAlignment="1">
      <alignment wrapText="1"/>
    </xf>
    <xf numFmtId="0" fontId="1" fillId="0" borderId="1" xfId="0" applyFont="1" applyBorder="1" applyAlignment="1">
      <alignment wrapText="1"/>
    </xf>
    <xf numFmtId="0" fontId="9" fillId="0" borderId="0" xfId="0" applyFont="1"/>
    <xf numFmtId="0" fontId="9" fillId="0" borderId="0" xfId="0" applyFont="1" applyAlignment="1">
      <alignment wrapText="1"/>
    </xf>
    <xf numFmtId="0" fontId="12" fillId="0" borderId="0" xfId="0" applyFont="1" applyAlignment="1">
      <alignment wrapText="1"/>
    </xf>
    <xf numFmtId="2" fontId="0" fillId="0" borderId="0" xfId="0" applyNumberFormat="1"/>
    <xf numFmtId="2" fontId="1" fillId="0" borderId="0" xfId="0" applyNumberFormat="1" applyFont="1"/>
    <xf numFmtId="0" fontId="12" fillId="0" borderId="0" xfId="0" applyFont="1" applyAlignment="1" applyProtection="1">
      <alignment wrapText="1"/>
      <protection locked="0"/>
    </xf>
    <xf numFmtId="0" fontId="5" fillId="0" borderId="0" xfId="0" applyFont="1" applyAlignment="1" applyProtection="1">
      <alignment wrapText="1"/>
      <protection locked="0"/>
    </xf>
    <xf numFmtId="0" fontId="1" fillId="2" borderId="0" xfId="0" applyFont="1" applyFill="1" applyAlignment="1" applyProtection="1">
      <alignment horizontal="left"/>
      <protection locked="0"/>
    </xf>
    <xf numFmtId="0" fontId="1" fillId="2" borderId="0" xfId="0" applyFont="1" applyFill="1" applyAlignment="1" applyProtection="1">
      <alignment horizontal="left" wrapText="1"/>
      <protection locked="0"/>
    </xf>
    <xf numFmtId="0" fontId="9" fillId="2" borderId="0" xfId="0" applyFont="1" applyFill="1"/>
    <xf numFmtId="0" fontId="8" fillId="0" borderId="0" xfId="0" applyFont="1"/>
    <xf numFmtId="0" fontId="8" fillId="0" borderId="0" xfId="0" applyFont="1" applyAlignment="1">
      <alignment wrapText="1"/>
    </xf>
    <xf numFmtId="0" fontId="8" fillId="0" borderId="2" xfId="0" applyFont="1" applyBorder="1"/>
    <xf numFmtId="0" fontId="13" fillId="0" borderId="2" xfId="0" applyFont="1" applyBorder="1"/>
    <xf numFmtId="0" fontId="10" fillId="0" borderId="0" xfId="0" applyFont="1" applyAlignment="1">
      <alignment wrapText="1"/>
    </xf>
    <xf numFmtId="0" fontId="11" fillId="0" borderId="0" xfId="0" applyFont="1"/>
    <xf numFmtId="0" fontId="5" fillId="0" borderId="0" xfId="0" applyFont="1" applyAlignment="1">
      <alignment wrapText="1"/>
    </xf>
    <xf numFmtId="0" fontId="11" fillId="0" borderId="0" xfId="0" applyFont="1" applyAlignment="1">
      <alignment wrapText="1"/>
    </xf>
    <xf numFmtId="0" fontId="7" fillId="0" borderId="0" xfId="0" applyFont="1"/>
    <xf numFmtId="0" fontId="13" fillId="0" borderId="0" xfId="0" applyFont="1"/>
    <xf numFmtId="0" fontId="13" fillId="0" borderId="2" xfId="0" applyFont="1" applyBorder="1" applyAlignment="1">
      <alignment wrapText="1"/>
    </xf>
    <xf numFmtId="0" fontId="6" fillId="0" borderId="0" xfId="0" applyFont="1" applyAlignment="1">
      <alignment wrapText="1"/>
    </xf>
    <xf numFmtId="0" fontId="14" fillId="0" borderId="0" xfId="0" applyFont="1" applyAlignment="1">
      <alignment wrapText="1"/>
    </xf>
  </cellXfs>
  <cellStyles count="19">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357849-E415-4422-BBE6-083FE410C050}" name="Tabla1" displayName="Tabla1" ref="A1:A3" totalsRowShown="0">
  <autoFilter ref="A1:A3" xr:uid="{85357849-E415-4422-BBE6-083FE410C050}"/>
  <tableColumns count="1">
    <tableColumn id="1" xr3:uid="{82CE18EF-ED96-4425-B3AD-61CB9821B53B}" name="Columna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34588-D4EB-43EC-8424-5ED08F8B2503}">
  <dimension ref="A1:U61"/>
  <sheetViews>
    <sheetView tabSelected="1" topLeftCell="B53" zoomScale="115" zoomScaleNormal="115" workbookViewId="0">
      <selection activeCell="E58" sqref="E58"/>
    </sheetView>
  </sheetViews>
  <sheetFormatPr baseColWidth="10" defaultRowHeight="14.5" x14ac:dyDescent="0.35"/>
  <cols>
    <col min="1" max="1" width="12" customWidth="1"/>
    <col min="2" max="2" width="51.1796875" customWidth="1"/>
    <col min="3" max="3" width="46.1796875" customWidth="1"/>
    <col min="5" max="5" width="47.81640625" style="5" customWidth="1"/>
    <col min="6" max="8" width="11.453125" customWidth="1"/>
  </cols>
  <sheetData>
    <row r="1" spans="1:21" ht="23.5" x14ac:dyDescent="0.55000000000000004">
      <c r="A1" s="7"/>
      <c r="B1" s="7" t="s">
        <v>4</v>
      </c>
      <c r="C1" s="16"/>
      <c r="D1" s="7"/>
      <c r="E1" s="8"/>
      <c r="F1" s="7"/>
    </row>
    <row r="2" spans="1:21" ht="15.5" x14ac:dyDescent="0.35">
      <c r="A2" s="17" t="s">
        <v>35</v>
      </c>
      <c r="B2" s="17"/>
      <c r="C2" s="17"/>
      <c r="D2" s="14"/>
      <c r="E2" s="15"/>
      <c r="F2" s="14"/>
    </row>
    <row r="3" spans="1:21" x14ac:dyDescent="0.35">
      <c r="A3" s="1"/>
      <c r="B3" s="2"/>
      <c r="C3" s="2"/>
      <c r="D3" s="2"/>
      <c r="E3" s="2"/>
      <c r="F3" s="1" t="s">
        <v>38</v>
      </c>
    </row>
    <row r="4" spans="1:21" ht="29" x14ac:dyDescent="0.35">
      <c r="A4" s="3" t="s">
        <v>3</v>
      </c>
      <c r="B4" s="5"/>
      <c r="C4" s="3"/>
      <c r="D4" s="3" t="s">
        <v>5</v>
      </c>
      <c r="E4" s="6" t="s">
        <v>2</v>
      </c>
      <c r="F4" s="3" t="s">
        <v>39</v>
      </c>
      <c r="G4" s="3"/>
      <c r="H4" s="3"/>
      <c r="I4" s="3"/>
      <c r="J4" s="3"/>
      <c r="K4" s="3"/>
      <c r="L4" s="3"/>
      <c r="M4" s="3"/>
      <c r="N4" s="3"/>
      <c r="O4" s="3"/>
      <c r="P4" s="3"/>
      <c r="Q4" s="3"/>
      <c r="R4" s="3"/>
      <c r="S4" s="3"/>
      <c r="T4" s="3"/>
      <c r="U4" s="3"/>
    </row>
    <row r="5" spans="1:21" ht="15.5" x14ac:dyDescent="0.35">
      <c r="B5" s="18" t="s">
        <v>28</v>
      </c>
      <c r="C5" s="4"/>
      <c r="D5" s="4"/>
    </row>
    <row r="6" spans="1:21" ht="29" x14ac:dyDescent="0.35">
      <c r="A6" s="19">
        <v>1</v>
      </c>
      <c r="B6" s="20" t="s">
        <v>14</v>
      </c>
      <c r="C6" s="5" t="s">
        <v>48</v>
      </c>
      <c r="D6" s="13" t="s">
        <v>6</v>
      </c>
      <c r="E6" s="12" t="s">
        <v>78</v>
      </c>
      <c r="F6">
        <f t="shared" ref="F6:F32" si="0">IF(D6="SI",1,0)</f>
        <v>1</v>
      </c>
    </row>
    <row r="7" spans="1:21" ht="43.5" x14ac:dyDescent="0.35">
      <c r="B7" s="5"/>
      <c r="C7" s="5" t="s">
        <v>13</v>
      </c>
      <c r="D7" s="13" t="s">
        <v>6</v>
      </c>
      <c r="E7" s="12" t="s">
        <v>79</v>
      </c>
      <c r="F7">
        <f t="shared" si="0"/>
        <v>1</v>
      </c>
    </row>
    <row r="8" spans="1:21" ht="58" x14ac:dyDescent="0.35">
      <c r="B8" s="5"/>
      <c r="C8" s="5" t="s">
        <v>49</v>
      </c>
      <c r="D8" s="13" t="s">
        <v>6</v>
      </c>
      <c r="E8" s="12" t="s">
        <v>80</v>
      </c>
      <c r="F8">
        <f t="shared" si="0"/>
        <v>1</v>
      </c>
    </row>
    <row r="9" spans="1:21" ht="87" x14ac:dyDescent="0.35">
      <c r="B9" s="5"/>
      <c r="C9" s="5" t="s">
        <v>69</v>
      </c>
      <c r="D9" s="13" t="s">
        <v>6</v>
      </c>
      <c r="E9" s="12" t="s">
        <v>81</v>
      </c>
      <c r="F9">
        <f>IF(D9="SI",1,0)</f>
        <v>1</v>
      </c>
    </row>
    <row r="10" spans="1:21" ht="43.5" x14ac:dyDescent="0.35">
      <c r="A10" s="19">
        <f>A6+1</f>
        <v>2</v>
      </c>
      <c r="B10" s="20" t="s">
        <v>19</v>
      </c>
      <c r="C10" s="5" t="s">
        <v>40</v>
      </c>
      <c r="D10" s="13" t="s">
        <v>6</v>
      </c>
      <c r="E10" s="12" t="s">
        <v>85</v>
      </c>
      <c r="F10">
        <f t="shared" si="0"/>
        <v>1</v>
      </c>
    </row>
    <row r="11" spans="1:21" ht="72.5" x14ac:dyDescent="0.35">
      <c r="B11" s="5"/>
      <c r="C11" s="5" t="s">
        <v>41</v>
      </c>
      <c r="D11" s="13" t="s">
        <v>6</v>
      </c>
      <c r="E11" s="12" t="s">
        <v>82</v>
      </c>
      <c r="F11">
        <f t="shared" si="0"/>
        <v>1</v>
      </c>
    </row>
    <row r="12" spans="1:21" ht="58" x14ac:dyDescent="0.35">
      <c r="A12" s="19">
        <f>A10+1</f>
        <v>3</v>
      </c>
      <c r="B12" s="20" t="s">
        <v>27</v>
      </c>
      <c r="C12" s="5" t="s">
        <v>50</v>
      </c>
      <c r="D12" s="13" t="s">
        <v>6</v>
      </c>
      <c r="E12" s="12" t="s">
        <v>86</v>
      </c>
      <c r="F12">
        <f t="shared" si="0"/>
        <v>1</v>
      </c>
    </row>
    <row r="13" spans="1:21" ht="29" x14ac:dyDescent="0.35">
      <c r="B13" s="5"/>
      <c r="C13" s="5" t="s">
        <v>76</v>
      </c>
      <c r="D13" s="13" t="s">
        <v>6</v>
      </c>
      <c r="E13" s="12" t="s">
        <v>87</v>
      </c>
      <c r="F13">
        <f t="shared" si="0"/>
        <v>1</v>
      </c>
    </row>
    <row r="14" spans="1:21" ht="72.5" x14ac:dyDescent="0.35">
      <c r="A14" s="19">
        <v>4</v>
      </c>
      <c r="B14" s="20" t="s">
        <v>43</v>
      </c>
      <c r="C14" s="21" t="s">
        <v>68</v>
      </c>
      <c r="D14" s="13" t="s">
        <v>6</v>
      </c>
      <c r="E14" s="12" t="s">
        <v>88</v>
      </c>
      <c r="F14">
        <f t="shared" si="0"/>
        <v>1</v>
      </c>
    </row>
    <row r="15" spans="1:21" ht="72.5" x14ac:dyDescent="0.35">
      <c r="C15" s="21" t="s">
        <v>51</v>
      </c>
      <c r="D15" s="13" t="s">
        <v>6</v>
      </c>
      <c r="E15" s="12" t="s">
        <v>89</v>
      </c>
      <c r="F15">
        <f t="shared" si="0"/>
        <v>1</v>
      </c>
    </row>
    <row r="16" spans="1:21" ht="43.5" x14ac:dyDescent="0.35">
      <c r="B16" s="5"/>
      <c r="C16" s="21" t="s">
        <v>52</v>
      </c>
      <c r="D16" s="13" t="s">
        <v>6</v>
      </c>
      <c r="E16" s="12" t="s">
        <v>90</v>
      </c>
      <c r="F16">
        <f t="shared" si="0"/>
        <v>1</v>
      </c>
    </row>
    <row r="17" spans="1:6" ht="72.5" x14ac:dyDescent="0.35">
      <c r="B17" s="5"/>
      <c r="C17" s="21" t="s">
        <v>53</v>
      </c>
      <c r="D17" s="13" t="s">
        <v>6</v>
      </c>
      <c r="E17" s="12" t="s">
        <v>91</v>
      </c>
      <c r="F17">
        <f t="shared" si="0"/>
        <v>1</v>
      </c>
    </row>
    <row r="18" spans="1:6" x14ac:dyDescent="0.35">
      <c r="B18" s="5"/>
      <c r="C18" s="21" t="s">
        <v>54</v>
      </c>
      <c r="D18" s="13" t="s">
        <v>6</v>
      </c>
      <c r="E18" s="12" t="s">
        <v>92</v>
      </c>
      <c r="F18">
        <f t="shared" si="0"/>
        <v>1</v>
      </c>
    </row>
    <row r="19" spans="1:6" ht="15.5" x14ac:dyDescent="0.35">
      <c r="A19" s="19">
        <v>5</v>
      </c>
      <c r="B19" s="20" t="s">
        <v>12</v>
      </c>
      <c r="C19" s="22" t="s">
        <v>55</v>
      </c>
      <c r="D19" s="13" t="s">
        <v>6</v>
      </c>
      <c r="E19" s="12" t="s">
        <v>93</v>
      </c>
      <c r="F19">
        <f t="shared" si="0"/>
        <v>1</v>
      </c>
    </row>
    <row r="20" spans="1:6" ht="15.5" x14ac:dyDescent="0.35">
      <c r="A20" s="19">
        <f>A19+1</f>
        <v>6</v>
      </c>
      <c r="B20" s="20" t="s">
        <v>46</v>
      </c>
      <c r="C20" s="22" t="s">
        <v>56</v>
      </c>
      <c r="D20" s="13" t="s">
        <v>6</v>
      </c>
      <c r="E20" s="12"/>
      <c r="F20">
        <f t="shared" si="0"/>
        <v>1</v>
      </c>
    </row>
    <row r="21" spans="1:6" x14ac:dyDescent="0.35">
      <c r="B21" s="5"/>
      <c r="C21" s="22" t="s">
        <v>57</v>
      </c>
      <c r="D21" s="13" t="s">
        <v>6</v>
      </c>
      <c r="E21" s="12"/>
      <c r="F21">
        <f t="shared" si="0"/>
        <v>1</v>
      </c>
    </row>
    <row r="22" spans="1:6" x14ac:dyDescent="0.35">
      <c r="B22" s="23"/>
      <c r="C22" s="22" t="s">
        <v>58</v>
      </c>
      <c r="D22" s="13" t="s">
        <v>6</v>
      </c>
      <c r="E22" s="12"/>
      <c r="F22">
        <f t="shared" si="0"/>
        <v>1</v>
      </c>
    </row>
    <row r="23" spans="1:6" x14ac:dyDescent="0.35">
      <c r="B23" s="23"/>
      <c r="C23" s="22" t="s">
        <v>70</v>
      </c>
      <c r="D23" s="13" t="s">
        <v>6</v>
      </c>
      <c r="E23" s="12"/>
      <c r="F23">
        <f t="shared" si="0"/>
        <v>1</v>
      </c>
    </row>
    <row r="24" spans="1:6" x14ac:dyDescent="0.35">
      <c r="B24" s="23"/>
      <c r="C24" s="24" t="s">
        <v>59</v>
      </c>
      <c r="D24" s="13" t="s">
        <v>6</v>
      </c>
      <c r="E24" s="12"/>
      <c r="F24">
        <f t="shared" si="0"/>
        <v>1</v>
      </c>
    </row>
    <row r="25" spans="1:6" ht="26" customHeight="1" x14ac:dyDescent="0.35">
      <c r="B25" s="23"/>
      <c r="C25" s="22" t="s">
        <v>60</v>
      </c>
      <c r="D25" s="13" t="s">
        <v>6</v>
      </c>
      <c r="E25" s="12"/>
      <c r="F25">
        <f>IF(D25="SI",1,0)</f>
        <v>1</v>
      </c>
    </row>
    <row r="26" spans="1:6" x14ac:dyDescent="0.35">
      <c r="C26" s="22" t="s">
        <v>61</v>
      </c>
      <c r="D26" s="13" t="s">
        <v>6</v>
      </c>
      <c r="F26">
        <f>IF(D26="SI",1,0)</f>
        <v>1</v>
      </c>
    </row>
    <row r="27" spans="1:6" ht="26" customHeight="1" x14ac:dyDescent="0.35">
      <c r="B27" s="23"/>
      <c r="C27" s="22" t="s">
        <v>62</v>
      </c>
      <c r="D27" s="13" t="s">
        <v>6</v>
      </c>
      <c r="E27" s="12"/>
      <c r="F27">
        <f>IF(D27="SI",1,0)</f>
        <v>1</v>
      </c>
    </row>
    <row r="28" spans="1:6" ht="26" customHeight="1" x14ac:dyDescent="0.35">
      <c r="B28" s="23"/>
      <c r="C28" s="22" t="s">
        <v>71</v>
      </c>
      <c r="D28" s="13" t="s">
        <v>6</v>
      </c>
      <c r="E28" s="12"/>
      <c r="F28">
        <f>IF(D28="SI",1,0)</f>
        <v>1</v>
      </c>
    </row>
    <row r="29" spans="1:6" ht="15.5" x14ac:dyDescent="0.35">
      <c r="A29" s="19">
        <f>A20+1</f>
        <v>7</v>
      </c>
      <c r="B29" s="20" t="s">
        <v>29</v>
      </c>
      <c r="C29" s="22" t="s">
        <v>63</v>
      </c>
      <c r="D29" s="13" t="s">
        <v>6</v>
      </c>
      <c r="E29" s="12"/>
      <c r="F29">
        <f t="shared" si="0"/>
        <v>1</v>
      </c>
    </row>
    <row r="30" spans="1:6" ht="101.5" x14ac:dyDescent="0.35">
      <c r="A30" s="19">
        <f>A29+1</f>
        <v>8</v>
      </c>
      <c r="B30" s="20" t="s">
        <v>25</v>
      </c>
      <c r="C30" s="5" t="s">
        <v>32</v>
      </c>
      <c r="D30" s="13" t="s">
        <v>6</v>
      </c>
      <c r="E30" s="12" t="s">
        <v>105</v>
      </c>
      <c r="F30">
        <f t="shared" si="0"/>
        <v>1</v>
      </c>
    </row>
    <row r="31" spans="1:6" ht="29" x14ac:dyDescent="0.35">
      <c r="A31" s="19">
        <f>A30+1</f>
        <v>9</v>
      </c>
      <c r="B31" s="20" t="s">
        <v>30</v>
      </c>
      <c r="C31" s="5" t="s">
        <v>31</v>
      </c>
      <c r="D31" s="13" t="s">
        <v>6</v>
      </c>
      <c r="E31" s="12" t="s">
        <v>94</v>
      </c>
      <c r="F31">
        <f t="shared" si="0"/>
        <v>1</v>
      </c>
    </row>
    <row r="32" spans="1:6" ht="29" x14ac:dyDescent="0.35">
      <c r="A32" s="19">
        <f>A31+1</f>
        <v>10</v>
      </c>
      <c r="B32" s="20" t="s">
        <v>15</v>
      </c>
      <c r="C32" s="5"/>
      <c r="D32" s="13" t="s">
        <v>6</v>
      </c>
      <c r="E32" s="12" t="s">
        <v>95</v>
      </c>
      <c r="F32">
        <f t="shared" si="0"/>
        <v>1</v>
      </c>
    </row>
    <row r="33" spans="1:20" ht="43.5" x14ac:dyDescent="0.35">
      <c r="A33" s="19">
        <f>A32+1</f>
        <v>11</v>
      </c>
      <c r="B33" s="20" t="s">
        <v>19</v>
      </c>
      <c r="C33" s="5" t="s">
        <v>20</v>
      </c>
      <c r="D33" s="13" t="s">
        <v>6</v>
      </c>
      <c r="E33" s="12" t="s">
        <v>102</v>
      </c>
      <c r="F33">
        <f t="shared" ref="F33:F38" si="1">IF(D33="SI",1,0)</f>
        <v>1</v>
      </c>
    </row>
    <row r="34" spans="1:20" ht="58" x14ac:dyDescent="0.35">
      <c r="B34" s="5"/>
      <c r="C34" s="5" t="s">
        <v>21</v>
      </c>
      <c r="D34" s="13" t="s">
        <v>6</v>
      </c>
      <c r="E34" s="12" t="s">
        <v>103</v>
      </c>
      <c r="F34">
        <f t="shared" si="1"/>
        <v>1</v>
      </c>
    </row>
    <row r="35" spans="1:20" ht="43.5" x14ac:dyDescent="0.35">
      <c r="B35" s="5"/>
      <c r="C35" s="5" t="s">
        <v>22</v>
      </c>
      <c r="D35" s="13" t="s">
        <v>6</v>
      </c>
      <c r="E35" s="12" t="s">
        <v>101</v>
      </c>
      <c r="F35">
        <f t="shared" si="1"/>
        <v>1</v>
      </c>
    </row>
    <row r="36" spans="1:20" ht="29" x14ac:dyDescent="0.35">
      <c r="B36" s="5"/>
      <c r="C36" s="5" t="s">
        <v>42</v>
      </c>
      <c r="D36" s="13" t="s">
        <v>6</v>
      </c>
      <c r="E36" s="12" t="s">
        <v>104</v>
      </c>
      <c r="F36">
        <f t="shared" si="1"/>
        <v>1</v>
      </c>
    </row>
    <row r="37" spans="1:20" ht="101.5" x14ac:dyDescent="0.35">
      <c r="B37" s="5"/>
      <c r="C37" s="5" t="s">
        <v>23</v>
      </c>
      <c r="D37" s="13" t="s">
        <v>6</v>
      </c>
      <c r="E37" s="12" t="s">
        <v>83</v>
      </c>
      <c r="F37">
        <f t="shared" si="1"/>
        <v>1</v>
      </c>
    </row>
    <row r="38" spans="1:20" x14ac:dyDescent="0.35">
      <c r="B38" s="5"/>
      <c r="C38" s="5" t="s">
        <v>33</v>
      </c>
      <c r="D38" s="13" t="s">
        <v>6</v>
      </c>
      <c r="E38" s="12" t="s">
        <v>84</v>
      </c>
      <c r="F38">
        <f t="shared" si="1"/>
        <v>1</v>
      </c>
    </row>
    <row r="39" spans="1:20" x14ac:dyDescent="0.35">
      <c r="B39" s="5"/>
      <c r="C39" s="5"/>
      <c r="D39" s="5"/>
      <c r="E39" s="9"/>
      <c r="F39" s="11">
        <f>SUM(F6:F38)/COUNT(F6:F38)*2</f>
        <v>2</v>
      </c>
    </row>
    <row r="40" spans="1:20" ht="23.5" x14ac:dyDescent="0.55000000000000004">
      <c r="B40" s="25" t="s">
        <v>9</v>
      </c>
      <c r="C40" s="5"/>
      <c r="D40" s="5"/>
      <c r="E40" s="9"/>
      <c r="G40" s="10"/>
      <c r="H40" s="10"/>
      <c r="I40" s="10"/>
      <c r="J40" s="10"/>
      <c r="K40" s="10"/>
      <c r="L40" s="10"/>
      <c r="M40" s="10"/>
      <c r="N40" s="10"/>
      <c r="O40" s="10"/>
      <c r="P40" s="10"/>
      <c r="Q40" s="10"/>
      <c r="R40" s="10"/>
      <c r="S40" s="10"/>
      <c r="T40" s="10"/>
    </row>
    <row r="41" spans="1:20" ht="23.5" x14ac:dyDescent="0.55000000000000004">
      <c r="B41" s="25" t="s">
        <v>10</v>
      </c>
      <c r="C41" s="5"/>
      <c r="D41" s="5"/>
      <c r="E41" s="9"/>
    </row>
    <row r="42" spans="1:20" ht="23.5" x14ac:dyDescent="0.55000000000000004">
      <c r="B42" s="25" t="s">
        <v>11</v>
      </c>
      <c r="C42" s="5"/>
      <c r="D42" s="5"/>
      <c r="E42" s="9"/>
    </row>
    <row r="43" spans="1:20" x14ac:dyDescent="0.35">
      <c r="B43" s="5"/>
      <c r="C43" s="5"/>
      <c r="D43" s="5"/>
      <c r="E43" s="9"/>
    </row>
    <row r="44" spans="1:20" x14ac:dyDescent="0.35">
      <c r="B44" s="5"/>
      <c r="E44" s="9"/>
    </row>
    <row r="45" spans="1:20" ht="15.5" x14ac:dyDescent="0.35">
      <c r="A45" s="19">
        <v>1</v>
      </c>
      <c r="B45" s="20" t="s">
        <v>44</v>
      </c>
      <c r="C45" s="5" t="s">
        <v>64</v>
      </c>
      <c r="D45" s="13" t="s">
        <v>6</v>
      </c>
      <c r="E45" s="12" t="s">
        <v>96</v>
      </c>
      <c r="F45">
        <f>IF(D45="SI",1,0)</f>
        <v>1</v>
      </c>
    </row>
    <row r="46" spans="1:20" ht="15.5" x14ac:dyDescent="0.35">
      <c r="A46" s="17"/>
      <c r="B46" s="26"/>
      <c r="C46" s="5" t="s">
        <v>72</v>
      </c>
      <c r="D46" s="13" t="s">
        <v>6</v>
      </c>
      <c r="E46" s="12"/>
      <c r="F46">
        <f t="shared" ref="F46:F49" si="2">IF(D46="SI",1,0)</f>
        <v>1</v>
      </c>
    </row>
    <row r="47" spans="1:20" ht="15.5" x14ac:dyDescent="0.35">
      <c r="A47" s="17"/>
      <c r="B47" s="26"/>
      <c r="C47" s="5" t="s">
        <v>77</v>
      </c>
      <c r="D47" s="13" t="s">
        <v>6</v>
      </c>
      <c r="E47" s="12"/>
      <c r="F47">
        <f t="shared" si="2"/>
        <v>1</v>
      </c>
    </row>
    <row r="48" spans="1:20" ht="15.5" x14ac:dyDescent="0.35">
      <c r="A48" s="17"/>
      <c r="B48" s="26"/>
      <c r="C48" s="5" t="s">
        <v>73</v>
      </c>
      <c r="D48" s="13" t="s">
        <v>6</v>
      </c>
      <c r="E48" s="12"/>
      <c r="F48">
        <f t="shared" si="2"/>
        <v>1</v>
      </c>
    </row>
    <row r="49" spans="1:21" ht="15.5" x14ac:dyDescent="0.35">
      <c r="A49" s="17"/>
      <c r="B49" s="26"/>
      <c r="C49" s="5" t="s">
        <v>74</v>
      </c>
      <c r="D49" s="13" t="s">
        <v>6</v>
      </c>
      <c r="E49" s="12"/>
      <c r="F49">
        <f t="shared" si="2"/>
        <v>1</v>
      </c>
    </row>
    <row r="50" spans="1:21" ht="159.5" x14ac:dyDescent="0.35">
      <c r="A50" s="19">
        <v>2</v>
      </c>
      <c r="B50" s="20" t="s">
        <v>45</v>
      </c>
      <c r="C50" s="5" t="s">
        <v>65</v>
      </c>
      <c r="D50" s="13" t="s">
        <v>6</v>
      </c>
      <c r="E50" s="12" t="s">
        <v>97</v>
      </c>
      <c r="F50">
        <f t="shared" ref="F50:F58" si="3">IF(D50="SI",1,0)</f>
        <v>1</v>
      </c>
    </row>
    <row r="51" spans="1:21" ht="15.5" x14ac:dyDescent="0.35">
      <c r="A51" s="26"/>
      <c r="B51" s="26"/>
      <c r="C51" s="5" t="s">
        <v>75</v>
      </c>
      <c r="D51" s="13" t="s">
        <v>6</v>
      </c>
      <c r="E51" s="12" t="s">
        <v>98</v>
      </c>
      <c r="F51">
        <f t="shared" ref="F51" si="4">IF(D51="SI",1,0)</f>
        <v>1</v>
      </c>
    </row>
    <row r="52" spans="1:21" ht="43.5" x14ac:dyDescent="0.35">
      <c r="A52" s="19">
        <v>3</v>
      </c>
      <c r="B52" s="27" t="s">
        <v>16</v>
      </c>
      <c r="C52" s="5" t="s">
        <v>17</v>
      </c>
      <c r="D52" s="13" t="s">
        <v>7</v>
      </c>
      <c r="E52" s="12"/>
      <c r="F52">
        <f t="shared" si="3"/>
        <v>0</v>
      </c>
    </row>
    <row r="53" spans="1:21" x14ac:dyDescent="0.35">
      <c r="B53" s="5"/>
      <c r="C53" s="28" t="s">
        <v>18</v>
      </c>
      <c r="D53" s="13" t="s">
        <v>6</v>
      </c>
      <c r="E53" s="12" t="s">
        <v>99</v>
      </c>
      <c r="F53">
        <f t="shared" si="3"/>
        <v>1</v>
      </c>
    </row>
    <row r="54" spans="1:21" ht="58" x14ac:dyDescent="0.35">
      <c r="A54" s="19">
        <f>A52+1</f>
        <v>4</v>
      </c>
      <c r="B54" s="20" t="s">
        <v>26</v>
      </c>
      <c r="C54" s="5" t="s">
        <v>47</v>
      </c>
      <c r="D54" s="13" t="s">
        <v>6</v>
      </c>
      <c r="E54" s="12" t="s">
        <v>100</v>
      </c>
      <c r="F54">
        <f t="shared" si="3"/>
        <v>1</v>
      </c>
    </row>
    <row r="55" spans="1:21" ht="43.5" x14ac:dyDescent="0.35">
      <c r="A55" s="19">
        <f>A54+1</f>
        <v>5</v>
      </c>
      <c r="B55" s="20" t="s">
        <v>0</v>
      </c>
      <c r="C55" s="5" t="s">
        <v>1</v>
      </c>
      <c r="D55" s="13" t="s">
        <v>6</v>
      </c>
      <c r="E55" s="12"/>
      <c r="F55">
        <f t="shared" si="3"/>
        <v>1</v>
      </c>
    </row>
    <row r="56" spans="1:21" ht="29" x14ac:dyDescent="0.35">
      <c r="B56" s="5"/>
      <c r="C56" s="5" t="s">
        <v>24</v>
      </c>
      <c r="D56" s="13" t="s">
        <v>7</v>
      </c>
      <c r="E56" s="12"/>
      <c r="F56">
        <f t="shared" si="3"/>
        <v>0</v>
      </c>
    </row>
    <row r="57" spans="1:21" ht="43.5" x14ac:dyDescent="0.35">
      <c r="B57" s="5"/>
      <c r="C57" s="5" t="s">
        <v>34</v>
      </c>
      <c r="D57" s="13" t="s">
        <v>6</v>
      </c>
      <c r="E57" s="12" t="s">
        <v>106</v>
      </c>
      <c r="F57">
        <f t="shared" si="3"/>
        <v>1</v>
      </c>
    </row>
    <row r="58" spans="1:21" ht="29" x14ac:dyDescent="0.35">
      <c r="A58" s="19">
        <v>7</v>
      </c>
      <c r="B58" s="20" t="s">
        <v>66</v>
      </c>
      <c r="C58" s="5" t="s">
        <v>67</v>
      </c>
      <c r="D58" s="13" t="s">
        <v>7</v>
      </c>
      <c r="F58">
        <f t="shared" si="3"/>
        <v>0</v>
      </c>
    </row>
    <row r="59" spans="1:21" ht="15.5" x14ac:dyDescent="0.35">
      <c r="A59" s="5"/>
      <c r="B59" s="29" t="s">
        <v>36</v>
      </c>
      <c r="C59" s="5"/>
      <c r="F59" s="10">
        <f>SUM(F45:F58)/COUNT(F45:F58)*2</f>
        <v>1.5714285714285714</v>
      </c>
    </row>
    <row r="60" spans="1:21" ht="15.5" x14ac:dyDescent="0.35">
      <c r="A60" s="5"/>
      <c r="B60" s="29" t="s">
        <v>37</v>
      </c>
      <c r="C60" s="5"/>
      <c r="F60" s="10">
        <f>F59+F39</f>
        <v>3.5714285714285712</v>
      </c>
      <c r="G60" s="10"/>
      <c r="H60" s="10"/>
      <c r="I60" s="10"/>
      <c r="J60" s="10"/>
      <c r="K60" s="10"/>
      <c r="L60" s="10"/>
      <c r="M60" s="10"/>
      <c r="N60" s="10"/>
      <c r="O60" s="10"/>
      <c r="P60" s="10"/>
      <c r="Q60" s="10"/>
      <c r="R60" s="10"/>
      <c r="S60" s="10"/>
      <c r="T60" s="10"/>
      <c r="U60" s="10"/>
    </row>
    <row r="61" spans="1:21" x14ac:dyDescent="0.35">
      <c r="A61" s="5"/>
      <c r="B61" s="5"/>
      <c r="C61" s="5"/>
      <c r="G61" s="10"/>
      <c r="H61" s="10"/>
      <c r="I61" s="10"/>
      <c r="J61" s="10"/>
      <c r="K61" s="10"/>
      <c r="L61" s="10"/>
      <c r="M61" s="10"/>
      <c r="N61" s="10"/>
      <c r="O61" s="10"/>
      <c r="P61" s="10"/>
      <c r="Q61" s="10"/>
      <c r="R61" s="10"/>
      <c r="S61" s="10"/>
      <c r="T61" s="10"/>
      <c r="U61" s="10"/>
    </row>
  </sheetData>
  <sheetProtection algorithmName="SHA-512" hashValue="pLnJksN1O4JFNeFkhTIhGYhJTLDdmXoRv2/Vb2LfASldrytQNcHgppVq6lvDBRdle/X7bU34xBzNBBUtIHvkIg==" saltValue="qk3Hy+ikUCcXbkpIUUMjpw==" spinCount="100000" sheet="1"/>
  <sortState xmlns:xlrd2="http://schemas.microsoft.com/office/spreadsheetml/2017/richdata2" ref="A2:D19">
    <sortCondition ref="A2:A19"/>
  </sortState>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1">
        <x14:dataValidation type="list" allowBlank="1" showInputMessage="1" showErrorMessage="1" xr:uid="{092406BF-548E-4837-A087-DD29E26D8086}">
          <x14:formula1>
            <xm:f>Hoja2!$A$2:$A$3</xm:f>
          </x14:formula1>
          <xm:sqref>D6:D38 D45:D58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BE0C3-5829-4AF5-884F-BE3999CA7C49}">
  <dimension ref="A1:A3"/>
  <sheetViews>
    <sheetView workbookViewId="0">
      <selection sqref="A1:A3"/>
    </sheetView>
  </sheetViews>
  <sheetFormatPr baseColWidth="10" defaultRowHeight="14.5" x14ac:dyDescent="0.35"/>
  <cols>
    <col min="1" max="1" width="12" customWidth="1"/>
  </cols>
  <sheetData>
    <row r="1" spans="1:1" x14ac:dyDescent="0.35">
      <c r="A1" t="s">
        <v>8</v>
      </c>
    </row>
    <row r="2" spans="1:1" x14ac:dyDescent="0.35">
      <c r="A2" t="s">
        <v>6</v>
      </c>
    </row>
    <row r="3" spans="1:1" x14ac:dyDescent="0.35">
      <c r="A3" t="s">
        <v>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Onieva</dc:creator>
  <cp:lastModifiedBy>Juan Carlos Alcausa Luque</cp:lastModifiedBy>
  <dcterms:created xsi:type="dcterms:W3CDTF">2016-05-15T10:43:58Z</dcterms:created>
  <dcterms:modified xsi:type="dcterms:W3CDTF">2025-05-28T20:45:43Z</dcterms:modified>
</cp:coreProperties>
</file>